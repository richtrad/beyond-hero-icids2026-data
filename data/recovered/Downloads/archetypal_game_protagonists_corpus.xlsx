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06c600e81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pus" sheetId="1" r:id="Rbbf04f66413c4159"/>
    <x:sheet xmlns:r="http://schemas.openxmlformats.org/officeDocument/2006/relationships" name="Summary" sheetId="2" r:id="R99067dc2e6ca44d7"/>
    <x:sheet xmlns:r="http://schemas.openxmlformats.org/officeDocument/2006/relationships" name="Coding Guide" sheetId="3" r:id="R15649906066b41f1"/>
    <x:sheet xmlns:r="http://schemas.openxmlformats.org/officeDocument/2006/relationships" name="Lists" sheetId="4" r:id="R5e46a96711e9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172A"/>
      </x:patternFill>
    </x:fill>
    <x:fill>
      <x:patternFill patternType="solid">
        <x:fgColor rgb="DBEAFE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922981a624d1f" /><Relationship Type="http://schemas.openxmlformats.org/officeDocument/2006/relationships/theme" Target="/xl/theme/theme1.xml" Id="R822aa1f61d8d4640" /><Relationship Type="http://schemas.openxmlformats.org/officeDocument/2006/relationships/sharedStrings" Target="/xl/sharedStrings.xml" Id="Rae0691d273b346cc" /><Relationship Type="http://schemas.openxmlformats.org/officeDocument/2006/relationships/worksheet" Target="/xl/worksheets/sheet1.xml" Id="Rbbf04f66413c4159" /><Relationship Type="http://schemas.openxmlformats.org/officeDocument/2006/relationships/worksheet" Target="/xl/worksheets/sheet2.xml" Id="R99067dc2e6ca44d7" /><Relationship Type="http://schemas.openxmlformats.org/officeDocument/2006/relationships/worksheet" Target="/xl/worksheets/sheet3.xml" Id="R15649906066b41f1" /><Relationship Type="http://schemas.openxmlformats.org/officeDocument/2006/relationships/worksheet" Target="/xl/worksheets/sheet4.xml" Id="R5e46a96711e94b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de7139adc64da4" /><Relationship Type="http://schemas.openxmlformats.org/officeDocument/2006/relationships/chart" Target="/xl/drawings/charts/chart2.xml" Id="R3659283c26eb405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'Summary'!$A$14:$A$25</c:f>
              <c:strCache>
                <c:ptCount val="0"/>
              </c:strCache>
            </c:strRef>
          </c:cat>
          <c:val>
            <c:numRef>
              <c:f>'Summary'!$B$14:$B$25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Records</c:v>
          </c:tx>
          <c:cat>
            <c:strRef>
              <c:f>'Summary'!$A$6:$A$10</c:f>
              <c:strCache>
                <c:ptCount val="0"/>
              </c:strCache>
            </c:strRef>
          </c:cat>
          <c:val>
            <c:numRef>
              <c:f>'Summary'!$B$6:$B$10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de7139adc64da4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59283c26eb405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rpusTable" displayName="CorpusTable" ref="A1:O111" headerRowCount="1">
  <x:tableColumns count="15">
    <x:tableColumn id="1" name="Decade"/>
    <x:tableColumn id="2" name="Year"/>
    <x:tableColumn id="3" name="Game"/>
    <x:tableColumn id="4" name="Character / Avatar"/>
    <x:tableColumn id="5" name="Primary archetype"/>
    <x:tableColumn id="6" name="Secondary archetype"/>
    <x:tableColumn id="7" name="Genre"/>
    <x:tableColumn id="8" name="Region"/>
    <x:tableColumn id="9" name="Protagonist type"/>
    <x:tableColumn id="10" name="Gender"/>
    <x:tableColumn id="11" name="Shadow load (0-3)"/>
    <x:tableColumn id="12" name="Player projection (0-3)"/>
    <x:tableColumn id="13" name="Narrative complexity (0-3)"/>
    <x:tableColumn id="14" name="Notes"/>
    <x:tableColumn id="15" name="Candidat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296c735cc34e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ca295147316414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8" hidden="0" customWidth="1"/>
    <x:col min="4" max="4" width="25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8" hidden="0" customWidth="1"/>
    <x:col min="11" max="11" width="14" hidden="0" customWidth="1"/>
    <x:col min="12" max="12" width="18" hidden="0" customWidth="1"/>
    <x:col min="13" max="13" width="20" hidden="0" customWidth="1"/>
    <x:col min="14" max="14" width="45" hidden="0" customWidth="1"/>
    <x:col min="15" max="15" width="16" hidden="0" customWidth="1"/>
  </x:cols>
  <x:sheetData>
    <x:row r="1" ht="30" customHeight="1">
      <x:c r="A1" s="6" t="str">
        <x:v>Decade</x:v>
      </x:c>
      <x:c r="B1" s="6" t="str">
        <x:v>Year</x:v>
      </x:c>
      <x:c r="C1" s="6" t="str">
        <x:v>Game</x:v>
      </x:c>
      <x:c r="D1" s="6" t="str">
        <x:v>Character / Avatar</x:v>
      </x:c>
      <x:c r="E1" s="6" t="str">
        <x:v>Primary archetype</x:v>
      </x:c>
      <x:c r="F1" s="6" t="str">
        <x:v>Secondary archetype</x:v>
      </x:c>
      <x:c r="G1" s="6" t="str">
        <x:v>Genre</x:v>
      </x:c>
      <x:c r="H1" s="6" t="str">
        <x:v>Region</x:v>
      </x:c>
      <x:c r="I1" s="6" t="str">
        <x:v>Protagonist type</x:v>
      </x:c>
      <x:c r="J1" s="6" t="str">
        <x:v>Gender</x:v>
      </x:c>
      <x:c r="K1" s="6" t="str">
        <x:v>Shadow load (0-3)</x:v>
      </x:c>
      <x:c r="L1" s="6" t="str">
        <x:v>Player projection (0-3)</x:v>
      </x:c>
      <x:c r="M1" s="6" t="str">
        <x:v>Narrative complexity (0-3)</x:v>
      </x:c>
      <x:c r="N1" s="6" t="str">
        <x:v>Notes</x:v>
      </x:c>
      <x:c r="O1" s="6" t="str">
        <x:v>Candidate status</x:v>
      </x:c>
    </x:row>
    <x:row r="2">
      <x:c r="A2" s="12" t="str">
        <x:v>1980s</x:v>
      </x:c>
      <x:c r="B2" s="12" t="n">
        <x:v>1980</x:v>
      </x:c>
      <x:c r="C2" s="12" t="str">
        <x:v>Pac-Man</x:v>
      </x:c>
      <x:c r="D2" s="12" t="str">
        <x:v>Pac-Man</x:v>
      </x:c>
      <x:c r="E2" s="12" t="str">
        <x:v>Innocent</x:v>
      </x:c>
      <x:c r="F2" s="12" t="str">
        <x:v>Jester</x:v>
      </x:c>
      <x:c r="G2" s="12" t="str">
        <x:v>Arcade / maze</x:v>
      </x:c>
      <x:c r="H2" s="12" t="str">
        <x:v>Japan</x:v>
      </x:c>
      <x:c r="I2" s="12" t="str">
        <x:v>Defined mascot</x:v>
      </x:c>
      <x:c r="J2" s="12" t="str">
        <x:v>Other / non-human</x:v>
      </x:c>
      <x:c r="K2" s="12" t="n">
        <x:v>0</x:v>
      </x:c>
      <x:c r="L2" s="12" t="n">
        <x:v>3</x:v>
      </x:c>
      <x:c r="M2" s="12" t="n">
        <x:v>0</x:v>
      </x:c>
      <x:c r="N2" s="12" t="str">
        <x:v>Abstract, playful, non-psychological character.</x:v>
      </x:c>
      <x:c r="O2" s="12" t="str">
        <x:v>Seed</x:v>
      </x:c>
    </x:row>
    <x:row r="3">
      <x:c r="A3" s="12" t="str">
        <x:v>1980s</x:v>
      </x:c>
      <x:c r="B3" s="12" t="n">
        <x:v>1981</x:v>
      </x:c>
      <x:c r="C3" s="12" t="str">
        <x:v>Donkey Kong</x:v>
      </x:c>
      <x:c r="D3" s="12" t="str">
        <x:v>Jumpman / Mario</x:v>
      </x:c>
      <x:c r="E3" s="12" t="str">
        <x:v>Hero</x:v>
      </x:c>
      <x:c r="F3" s="12" t="str">
        <x:v>Everyman</x:v>
      </x:c>
      <x:c r="G3" s="12" t="str">
        <x:v>Arcade platformer</x:v>
      </x:c>
      <x:c r="H3" s="12" t="str">
        <x:v>Japan</x:v>
      </x:c>
      <x:c r="I3" s="12" t="str">
        <x:v>Defined mascot</x:v>
      </x:c>
      <x:c r="J3" s="12" t="str">
        <x:v>Male</x:v>
      </x:c>
      <x:c r="K3" s="12" t="n">
        <x:v>0</x:v>
      </x:c>
      <x:c r="L3" s="12" t="n">
        <x:v>2</x:v>
      </x:c>
      <x:c r="M3" s="12" t="n">
        <x:v>0</x:v>
      </x:c>
      <x:c r="N3" s="12" t="str">
        <x:v>Early ordinary hero rescuing a woman.</x:v>
      </x:c>
      <x:c r="O3" s="12" t="str">
        <x:v>Seed</x:v>
      </x:c>
    </x:row>
    <x:row r="4">
      <x:c r="A4" s="12" t="str">
        <x:v>1980s</x:v>
      </x:c>
      <x:c r="B4" s="12" t="n">
        <x:v>1985</x:v>
      </x:c>
      <x:c r="C4" s="12" t="str">
        <x:v>Super Mario Bros.</x:v>
      </x:c>
      <x:c r="D4" s="12" t="str">
        <x:v>Mario</x:v>
      </x:c>
      <x:c r="E4" s="12" t="str">
        <x:v>Hero</x:v>
      </x:c>
      <x:c r="F4" s="12" t="str">
        <x:v>Innocent</x:v>
      </x:c>
      <x:c r="G4" s="12" t="str">
        <x:v>Platformer</x:v>
      </x:c>
      <x:c r="H4" s="12" t="str">
        <x:v>Japan</x:v>
      </x:c>
      <x:c r="I4" s="12" t="str">
        <x:v>Defined mascot</x:v>
      </x:c>
      <x:c r="J4" s="12" t="str">
        <x:v>Male</x:v>
      </x:c>
      <x:c r="K4" s="12" t="n">
        <x:v>0</x:v>
      </x:c>
      <x:c r="L4" s="12" t="n">
        <x:v>2</x:v>
      </x:c>
      <x:c r="M4" s="12" t="n">
        <x:v>0</x:v>
      </x:c>
      <x:c r="N4" s="12" t="str">
        <x:v>Clear functional hero, low psychology.</x:v>
      </x:c>
      <x:c r="O4" s="12" t="str">
        <x:v>Seed</x:v>
      </x:c>
    </x:row>
    <x:row r="5">
      <x:c r="A5" s="12" t="str">
        <x:v>1980s</x:v>
      </x:c>
      <x:c r="B5" s="12" t="n">
        <x:v>1986</x:v>
      </x:c>
      <x:c r="C5" s="12" t="str">
        <x:v>The Legend of Zelda</x:v>
      </x:c>
      <x:c r="D5" s="12" t="str">
        <x:v>Link</x:v>
      </x:c>
      <x:c r="E5" s="12" t="str">
        <x:v>Hero</x:v>
      </x:c>
      <x:c r="F5" s="12" t="str">
        <x:v>Explorer</x:v>
      </x:c>
      <x:c r="G5" s="12" t="str">
        <x:v>Action-adventure</x:v>
      </x:c>
      <x:c r="H5" s="12" t="str">
        <x:v>Japan</x:v>
      </x:c>
      <x:c r="I5" s="12" t="str">
        <x:v>Silent defined protagonist</x:v>
      </x:c>
      <x:c r="J5" s="12" t="str">
        <x:v>Male</x:v>
      </x:c>
      <x:c r="K5" s="12" t="n">
        <x:v>0</x:v>
      </x:c>
      <x:c r="L5" s="12" t="n">
        <x:v>3</x:v>
      </x:c>
      <x:c r="M5" s="12" t="n">
        <x:v>1</x:v>
      </x:c>
      <x:c r="N5" s="12" t="str">
        <x:v>Hero of journey, discovery and rescue.</x:v>
      </x:c>
      <x:c r="O5" s="12" t="str">
        <x:v>Seed</x:v>
      </x:c>
    </x:row>
    <x:row r="6">
      <x:c r="A6" s="12" t="str">
        <x:v>1980s</x:v>
      </x:c>
      <x:c r="B6" s="12" t="n">
        <x:v>1986</x:v>
      </x:c>
      <x:c r="C6" s="12" t="str">
        <x:v>Metroid</x:v>
      </x:c>
      <x:c r="D6" s="12" t="str">
        <x:v>Samus Aran</x:v>
      </x:c>
      <x:c r="E6" s="12" t="str">
        <x:v>Explorer</x:v>
      </x:c>
      <x:c r="F6" s="12" t="str">
        <x:v>Hero</x:v>
      </x:c>
      <x:c r="G6" s="12" t="str">
        <x:v>Action-adventure</x:v>
      </x:c>
      <x:c r="H6" s="12" t="str">
        <x:v>Japan</x:v>
      </x:c>
      <x:c r="I6" s="12" t="str">
        <x:v>Defined protagonist</x:v>
      </x:c>
      <x:c r="J6" s="12" t="str">
        <x:v>Female</x:v>
      </x:c>
      <x:c r="K6" s="12" t="n">
        <x:v>1</x:v>
      </x:c>
      <x:c r="L6" s="12" t="n">
        <x:v>1</x:v>
      </x:c>
      <x:c r="M6" s="12" t="n">
        <x:v>1</x:v>
      </x:c>
      <x:c r="N6" s="12" t="str">
        <x:v>Solitary explorer of hostile space.</x:v>
      </x:c>
      <x:c r="O6" s="12" t="str">
        <x:v>Seed</x:v>
      </x:c>
    </x:row>
    <x:row r="7">
      <x:c r="A7" s="12" t="str">
        <x:v>1980s</x:v>
      </x:c>
      <x:c r="B7" s="12" t="n">
        <x:v>1986</x:v>
      </x:c>
      <x:c r="C7" s="12" t="str">
        <x:v>Castlevania</x:v>
      </x:c>
      <x:c r="D7" s="12" t="str">
        <x:v>Simon Belmont</x:v>
      </x:c>
      <x:c r="E7" s="12" t="str">
        <x:v>Hero</x:v>
      </x:c>
      <x:c r="F7" s="12" t="str">
        <x:v>Sage</x:v>
      </x:c>
      <x:c r="G7" s="12" t="str">
        <x:v>Action platformer</x:v>
      </x:c>
      <x:c r="H7" s="12" t="str">
        <x:v>Japan</x:v>
      </x:c>
      <x:c r="I7" s="12" t="str">
        <x:v>Defined protagonist</x:v>
      </x:c>
      <x:c r="J7" s="12" t="str">
        <x:v>Male</x:v>
      </x:c>
      <x:c r="K7" s="12" t="n">
        <x:v>1</x:v>
      </x:c>
      <x:c r="L7" s="12" t="n">
        <x:v>1</x:v>
      </x:c>
      <x:c r="M7" s="12" t="n">
        <x:v>1</x:v>
      </x:c>
      <x:c r="N7" s="12" t="str">
        <x:v>Monster hunter, heir to tradition and knowledge.</x:v>
      </x:c>
      <x:c r="O7" s="12" t="str">
        <x:v>Seed</x:v>
      </x:c>
    </x:row>
    <x:row r="8">
      <x:c r="A8" s="12" t="str">
        <x:v>1980s</x:v>
      </x:c>
      <x:c r="B8" s="12" t="n">
        <x:v>1987</x:v>
      </x:c>
      <x:c r="C8" s="12" t="str">
        <x:v>Mega Man</x:v>
      </x:c>
      <x:c r="D8" s="12" t="str">
        <x:v>Mega Man</x:v>
      </x:c>
      <x:c r="E8" s="12" t="str">
        <x:v>Hero</x:v>
      </x:c>
      <x:c r="F8" s="12" t="str">
        <x:v>Innocent</x:v>
      </x:c>
      <x:c r="G8" s="12" t="str">
        <x:v>Action platformer</x:v>
      </x:c>
      <x:c r="H8" s="12" t="str">
        <x:v>Japan</x:v>
      </x:c>
      <x:c r="I8" s="12" t="str">
        <x:v>Defined mascot</x:v>
      </x:c>
      <x:c r="J8" s="12" t="str">
        <x:v>Male / robot</x:v>
      </x:c>
      <x:c r="K8" s="12" t="n">
        <x:v>0</x:v>
      </x:c>
      <x:c r="L8" s="12" t="n">
        <x:v>2</x:v>
      </x:c>
      <x:c r="M8" s="12" t="n">
        <x:v>1</x:v>
      </x:c>
      <x:c r="N8" s="12" t="str">
        <x:v>Childlike technological hero.</x:v>
      </x:c>
      <x:c r="O8" s="12" t="str">
        <x:v>Seed</x:v>
      </x:c>
    </x:row>
    <x:row r="9">
      <x:c r="A9" s="12" t="str">
        <x:v>1980s</x:v>
      </x:c>
      <x:c r="B9" s="12" t="n">
        <x:v>1987</x:v>
      </x:c>
      <x:c r="C9" s="12" t="str">
        <x:v>Contra</x:v>
      </x:c>
      <x:c r="D9" s="12" t="str">
        <x:v>Bill Rizer / Lance Bean</x:v>
      </x:c>
      <x:c r="E9" s="12" t="str">
        <x:v>Hero</x:v>
      </x:c>
      <x:c r="F9" s="12" t="str">
        <x:v>Rebel</x:v>
      </x:c>
      <x:c r="G9" s="12" t="str">
        <x:v>Run-and-gun</x:v>
      </x:c>
      <x:c r="H9" s="12" t="str">
        <x:v>Japan / USA-coded</x:v>
      </x:c>
      <x:c r="I9" s="12" t="str">
        <x:v>Defined protagonist(s)</x:v>
      </x:c>
      <x:c r="J9" s="12" t="str">
        <x:v>Male</x:v>
      </x:c>
      <x:c r="K9" s="12" t="n">
        <x:v>1</x:v>
      </x:c>
      <x:c r="L9" s="12" t="n">
        <x:v>2</x:v>
      </x:c>
      <x:c r="M9" s="12" t="n">
        <x:v>0</x:v>
      </x:c>
      <x:c r="N9" s="12" t="str">
        <x:v>Militarized action heroes against invasion.</x:v>
      </x:c>
      <x:c r="O9" s="12" t="str">
        <x:v>Seed</x:v>
      </x:c>
    </x:row>
    <x:row r="10">
      <x:c r="A10" s="12" t="str">
        <x:v>1980s</x:v>
      </x:c>
      <x:c r="B10" s="12" t="n">
        <x:v>1987</x:v>
      </x:c>
      <x:c r="C10" s="12" t="str">
        <x:v>Metal Gear</x:v>
      </x:c>
      <x:c r="D10" s="12" t="str">
        <x:v>Solid Snake</x:v>
      </x:c>
      <x:c r="E10" s="12" t="str">
        <x:v>Hero</x:v>
      </x:c>
      <x:c r="F10" s="12" t="str">
        <x:v>Rebel</x:v>
      </x:c>
      <x:c r="G10" s="12" t="str">
        <x:v>Stealth action</x:v>
      </x:c>
      <x:c r="H10" s="12" t="str">
        <x:v>Japan</x:v>
      </x:c>
      <x:c r="I10" s="12" t="str">
        <x:v>Defined protagonist</x:v>
      </x:c>
      <x:c r="J10" s="12" t="str">
        <x:v>Male</x:v>
      </x:c>
      <x:c r="K10" s="12" t="n">
        <x:v>1</x:v>
      </x:c>
      <x:c r="L10" s="12" t="n">
        <x:v>1</x:v>
      </x:c>
      <x:c r="M10" s="12" t="n">
        <x:v>1</x:v>
      </x:c>
      <x:c r="N10" s="12" t="str">
        <x:v>Infiltrator against military-technological threat.</x:v>
      </x:c>
      <x:c r="O10" s="12" t="str">
        <x:v>Seed</x:v>
      </x:c>
    </x:row>
    <x:row r="11">
      <x:c r="A11" s="12" t="str">
        <x:v>1980s</x:v>
      </x:c>
      <x:c r="B11" s="12" t="n">
        <x:v>1988</x:v>
      </x:c>
      <x:c r="C11" s="12" t="str">
        <x:v>Prince of Persia</x:v>
      </x:c>
      <x:c r="D11" s="12" t="str">
        <x:v>Prince</x:v>
      </x:c>
      <x:c r="E11" s="12" t="str">
        <x:v>Hero</x:v>
      </x:c>
      <x:c r="F11" s="12" t="str">
        <x:v>Lover</x:v>
      </x:c>
      <x:c r="G11" s="12" t="str">
        <x:v>Cinematic platformer</x:v>
      </x:c>
      <x:c r="H11" s="12" t="str">
        <x:v>USA</x:v>
      </x:c>
      <x:c r="I11" s="12" t="str">
        <x:v>Defined protagonist</x:v>
      </x:c>
      <x:c r="J11" s="12" t="str">
        <x:v>Male</x:v>
      </x:c>
      <x:c r="K11" s="12" t="n">
        <x:v>0</x:v>
      </x:c>
      <x:c r="L11" s="12" t="n">
        <x:v>1</x:v>
      </x:c>
      <x:c r="M11" s="12" t="n">
        <x:v>1</x:v>
      </x:c>
      <x:c r="N11" s="12" t="str">
        <x:v>Fairy-tale rescue and romance frame.</x:v>
      </x:c>
      <x:c r="O11" s="12" t="str">
        <x:v>Seed</x:v>
      </x:c>
    </x:row>
    <x:row r="12">
      <x:c r="A12" s="12" t="str">
        <x:v>1980s</x:v>
      </x:c>
      <x:c r="B12" s="12" t="n">
        <x:v>1989</x:v>
      </x:c>
      <x:c r="C12" s="12" t="str">
        <x:v>SimCity</x:v>
      </x:c>
      <x:c r="D12" s="12" t="str">
        <x:v>Implicit player / mayor</x:v>
      </x:c>
      <x:c r="E12" s="12" t="str">
        <x:v>Ruler</x:v>
      </x:c>
      <x:c r="F12" s="12" t="str">
        <x:v>Creator</x:v>
      </x:c>
      <x:c r="G12" s="12" t="str">
        <x:v>City-building simulation</x:v>
      </x:c>
      <x:c r="H12" s="12" t="str">
        <x:v>USA</x:v>
      </x:c>
      <x:c r="I12" s="12" t="str">
        <x:v>Implicit system role</x:v>
      </x:c>
      <x:c r="J12" s="12" t="str">
        <x:v>Player-defined / absent</x:v>
      </x:c>
      <x:c r="K12" s="12" t="n">
        <x:v>0</x:v>
      </x:c>
      <x:c r="L12" s="12" t="n">
        <x:v>3</x:v>
      </x:c>
      <x:c r="M12" s="12" t="n">
        <x:v>0</x:v>
      </x:c>
      <x:c r="N12" s="12" t="str">
        <x:v>Player role as governor and builder of a system.</x:v>
      </x:c>
      <x:c r="O12" s="12" t="str">
        <x:v>Seed</x:v>
      </x:c>
    </x:row>
    <x:row r="13">
      <x:c r="A13" s="12" t="str">
        <x:v>1980s</x:v>
      </x:c>
      <x:c r="B13" s="12" t="n">
        <x:v>1989</x:v>
      </x:c>
      <x:c r="C13" s="12" t="str">
        <x:v>Final Fight</x:v>
      </x:c>
      <x:c r="D13" s="12" t="str">
        <x:v>Mike Haggar</x:v>
      </x:c>
      <x:c r="E13" s="12" t="str">
        <x:v>Hero</x:v>
      </x:c>
      <x:c r="F13" s="12" t="str">
        <x:v>Caregiver</x:v>
      </x:c>
      <x:c r="G13" s="12" t="str">
        <x:v>Beat em up</x:v>
      </x:c>
      <x:c r="H13" s="12" t="str">
        <x:v>Japan</x:v>
      </x:c>
      <x:c r="I13" s="12" t="str">
        <x:v>Defined protagonist</x:v>
      </x:c>
      <x:c r="J13" s="12" t="str">
        <x:v>Male</x:v>
      </x:c>
      <x:c r="K13" s="12" t="n">
        <x:v>1</x:v>
      </x:c>
      <x:c r="L13" s="12" t="n">
        <x:v>1</x:v>
      </x:c>
      <x:c r="M13" s="12" t="n">
        <x:v>1</x:v>
      </x:c>
      <x:c r="N13" s="12" t="str">
        <x:v>Father/mayor rescues daughter and city.</x:v>
      </x:c>
      <x:c r="O13" s="12" t="str">
        <x:v>Seed</x:v>
      </x:c>
    </x:row>
    <x:row r="14">
      <x:c r="A14" s="12" t="str">
        <x:v>1990s</x:v>
      </x:c>
      <x:c r="B14" s="12" t="n">
        <x:v>1990</x:v>
      </x:c>
      <x:c r="C14" s="12" t="str">
        <x:v>The Secret of Monkey Island</x:v>
      </x:c>
      <x:c r="D14" s="12" t="str">
        <x:v>Guybrush Threepwood</x:v>
      </x:c>
      <x:c r="E14" s="12" t="str">
        <x:v>Jester</x:v>
      </x:c>
      <x:c r="F14" s="12" t="str">
        <x:v>Explorer</x:v>
      </x:c>
      <x:c r="G14" s="12" t="str">
        <x:v>Point-and-click adventure</x:v>
      </x:c>
      <x:c r="H14" s="12" t="str">
        <x:v>USA</x:v>
      </x:c>
      <x:c r="I14" s="12" t="str">
        <x:v>Defined protagonist</x:v>
      </x:c>
      <x:c r="J14" s="12" t="str">
        <x:v>Male</x:v>
      </x:c>
      <x:c r="K14" s="12" t="n">
        <x:v>0</x:v>
      </x:c>
      <x:c r="L14" s="12" t="n">
        <x:v>1</x:v>
      </x:c>
      <x:c r="M14" s="12" t="n">
        <x:v>2</x:v>
      </x:c>
      <x:c r="N14" s="12" t="str">
        <x:v>Comic adventurer, parody of heroism.</x:v>
      </x:c>
      <x:c r="O14" s="12" t="str">
        <x:v>Seed</x:v>
      </x:c>
    </x:row>
    <x:row r="15">
      <x:c r="A15" s="12" t="str">
        <x:v>1990s</x:v>
      </x:c>
      <x:c r="B15" s="12" t="n">
        <x:v>1991</x:v>
      </x:c>
      <x:c r="C15" s="12" t="str">
        <x:v>Sonic the Hedgehog</x:v>
      </x:c>
      <x:c r="D15" s="12" t="str">
        <x:v>Sonic</x:v>
      </x:c>
      <x:c r="E15" s="12" t="str">
        <x:v>Explorer</x:v>
      </x:c>
      <x:c r="F15" s="12" t="str">
        <x:v>Jester</x:v>
      </x:c>
      <x:c r="G15" s="12" t="str">
        <x:v>Platformer</x:v>
      </x:c>
      <x:c r="H15" s="12" t="str">
        <x:v>Japan</x:v>
      </x:c>
      <x:c r="I15" s="12" t="str">
        <x:v>Defined mascot</x:v>
      </x:c>
      <x:c r="J15" s="12" t="str">
        <x:v>Male / animal</x:v>
      </x:c>
      <x:c r="K15" s="12" t="n">
        <x:v>0</x:v>
      </x:c>
      <x:c r="L15" s="12" t="n">
        <x:v>2</x:v>
      </x:c>
      <x:c r="M15" s="12" t="n">
        <x:v>0</x:v>
      </x:c>
      <x:c r="N15" s="12" t="str">
        <x:v>Speed, freedom, cheeky mascot energy.</x:v>
      </x:c>
      <x:c r="O15" s="12" t="str">
        <x:v>Seed</x:v>
      </x:c>
    </x:row>
    <x:row r="16">
      <x:c r="A16" s="12" t="str">
        <x:v>1990s</x:v>
      </x:c>
      <x:c r="B16" s="12" t="n">
        <x:v>1992</x:v>
      </x:c>
      <x:c r="C16" s="12" t="str">
        <x:v>Wolfenstein 3D</x:v>
      </x:c>
      <x:c r="D16" s="12" t="str">
        <x:v>B. J. Blazkowicz</x:v>
      </x:c>
      <x:c r="E16" s="12" t="str">
        <x:v>Hero</x:v>
      </x:c>
      <x:c r="F16" s="12" t="str">
        <x:v>Rebel</x:v>
      </x:c>
      <x:c r="G16" s="12" t="str">
        <x:v>FPS</x:v>
      </x:c>
      <x:c r="H16" s="12" t="str">
        <x:v>USA</x:v>
      </x:c>
      <x:c r="I16" s="12" t="str">
        <x:v>Defined protagonist</x:v>
      </x:c>
      <x:c r="J16" s="12" t="str">
        <x:v>Male</x:v>
      </x:c>
      <x:c r="K16" s="12" t="n">
        <x:v>1</x:v>
      </x:c>
      <x:c r="L16" s="12" t="n">
        <x:v>2</x:v>
      </x:c>
      <x:c r="M16" s="12" t="n">
        <x:v>0</x:v>
      </x:c>
      <x:c r="N16" s="12" t="str">
        <x:v>Direct action hero against Nazi evil.</x:v>
      </x:c>
      <x:c r="O16" s="12" t="str">
        <x:v>Seed</x:v>
      </x:c>
    </x:row>
    <x:row r="17">
      <x:c r="A17" s="12" t="str">
        <x:v>1990s</x:v>
      </x:c>
      <x:c r="B17" s="12" t="n">
        <x:v>1992</x:v>
      </x:c>
      <x:c r="C17" s="12" t="str">
        <x:v>Alone in the Dark</x:v>
      </x:c>
      <x:c r="D17" s="12" t="str">
        <x:v>Edward Carnby / Emily Hartwood</x:v>
      </x:c>
      <x:c r="E17" s="12" t="str">
        <x:v>Explorer</x:v>
      </x:c>
      <x:c r="F17" s="12" t="str">
        <x:v>Sage</x:v>
      </x:c>
      <x:c r="G17" s="12" t="str">
        <x:v>Survival horror</x:v>
      </x:c>
      <x:c r="H17" s="12" t="str">
        <x:v>France</x:v>
      </x:c>
      <x:c r="I17" s="12" t="str">
        <x:v>Selectable defined protagonist</x:v>
      </x:c>
      <x:c r="J17" s="12" t="str">
        <x:v>Male/Female</x:v>
      </x:c>
      <x:c r="K17" s="12" t="n">
        <x:v>2</x:v>
      </x:c>
      <x:c r="L17" s="12" t="n">
        <x:v>1</x:v>
      </x:c>
      <x:c r="M17" s="12" t="n">
        <x:v>2</x:v>
      </x:c>
      <x:c r="N17" s="12" t="str">
        <x:v>Investigation, horror, hidden knowledge.</x:v>
      </x:c>
      <x:c r="O17" s="12" t="str">
        <x:v>Seed</x:v>
      </x:c>
    </x:row>
    <x:row r="18">
      <x:c r="A18" s="12" t="str">
        <x:v>1990s</x:v>
      </x:c>
      <x:c r="B18" s="12" t="n">
        <x:v>1993</x:v>
      </x:c>
      <x:c r="C18" s="12" t="str">
        <x:v>Doom</x:v>
      </x:c>
      <x:c r="D18" s="12" t="str">
        <x:v>Doomguy</x:v>
      </x:c>
      <x:c r="E18" s="12" t="str">
        <x:v>Hero</x:v>
      </x:c>
      <x:c r="F18" s="12" t="str">
        <x:v>Rebel</x:v>
      </x:c>
      <x:c r="G18" s="12" t="str">
        <x:v>FPS</x:v>
      </x:c>
      <x:c r="H18" s="12" t="str">
        <x:v>USA</x:v>
      </x:c>
      <x:c r="I18" s="12" t="str">
        <x:v>Defined but minimal protagonist</x:v>
      </x:c>
      <x:c r="J18" s="12" t="str">
        <x:v>Male</x:v>
      </x:c>
      <x:c r="K18" s="12" t="n">
        <x:v>1</x:v>
      </x:c>
      <x:c r="L18" s="12" t="n">
        <x:v>3</x:v>
      </x:c>
      <x:c r="M18" s="12" t="n">
        <x:v>0</x:v>
      </x:c>
      <x:c r="N18" s="12" t="str">
        <x:v>Extreme action archetype of violent resistance.</x:v>
      </x:c>
      <x:c r="O18" s="12" t="str">
        <x:v>Seed</x:v>
      </x:c>
    </x:row>
    <x:row r="19">
      <x:c r="A19" s="12" t="str">
        <x:v>1990s</x:v>
      </x:c>
      <x:c r="B19" s="12" t="n">
        <x:v>1994</x:v>
      </x:c>
      <x:c r="C19" s="12" t="str">
        <x:v>Earthworm Jim</x:v>
      </x:c>
      <x:c r="D19" s="12" t="str">
        <x:v>Earthworm Jim</x:v>
      </x:c>
      <x:c r="E19" s="12" t="str">
        <x:v>Jester</x:v>
      </x:c>
      <x:c r="F19" s="12" t="str">
        <x:v>Hero</x:v>
      </x:c>
      <x:c r="G19" s="12" t="str">
        <x:v>Action platformer</x:v>
      </x:c>
      <x:c r="H19" s="12" t="str">
        <x:v>USA</x:v>
      </x:c>
      <x:c r="I19" s="12" t="str">
        <x:v>Defined mascot</x:v>
      </x:c>
      <x:c r="J19" s="12" t="str">
        <x:v>Male / non-human</x:v>
      </x:c>
      <x:c r="K19" s="12" t="n">
        <x:v>0</x:v>
      </x:c>
      <x:c r="L19" s="12" t="n">
        <x:v>2</x:v>
      </x:c>
      <x:c r="M19" s="12" t="n">
        <x:v>0</x:v>
      </x:c>
      <x:c r="N19" s="12" t="str">
        <x:v>Parodic mascot of action heroism.</x:v>
      </x:c>
      <x:c r="O19" s="12" t="str">
        <x:v>Seed</x:v>
      </x:c>
    </x:row>
    <x:row r="20">
      <x:c r="A20" s="12" t="str">
        <x:v>1990s</x:v>
      </x:c>
      <x:c r="B20" s="12" t="n">
        <x:v>1994</x:v>
      </x:c>
      <x:c r="C20" s="12" t="str">
        <x:v>System Shock</x:v>
      </x:c>
      <x:c r="D20" s="12" t="str">
        <x:v>Hacker</x:v>
      </x:c>
      <x:c r="E20" s="12" t="str">
        <x:v>Rebel</x:v>
      </x:c>
      <x:c r="F20" s="12" t="str">
        <x:v>Sage</x:v>
      </x:c>
      <x:c r="G20" s="12" t="str">
        <x:v>Immersive sim</x:v>
      </x:c>
      <x:c r="H20" s="12" t="str">
        <x:v>USA</x:v>
      </x:c>
      <x:c r="I20" s="12" t="str">
        <x:v>Player avatar / defined role</x:v>
      </x:c>
      <x:c r="J20" s="12" t="str">
        <x:v>Player-defined / absent</x:v>
      </x:c>
      <x:c r="K20" s="12" t="n">
        <x:v>2</x:v>
      </x:c>
      <x:c r="L20" s="12" t="n">
        <x:v>3</x:v>
      </x:c>
      <x:c r="M20" s="12" t="n">
        <x:v>2</x:v>
      </x:c>
      <x:c r="N20" s="12" t="str">
        <x:v>Technological outlaw, knowledge of system.</x:v>
      </x:c>
      <x:c r="O20" s="12" t="str">
        <x:v>Seed</x:v>
      </x:c>
    </x:row>
    <x:row r="21">
      <x:c r="A21" s="12" t="str">
        <x:v>1990s</x:v>
      </x:c>
      <x:c r="B21" s="12" t="n">
        <x:v>1995</x:v>
      </x:c>
      <x:c r="C21" s="12" t="str">
        <x:v>Chrono Trigger</x:v>
      </x:c>
      <x:c r="D21" s="12" t="str">
        <x:v>Crono</x:v>
      </x:c>
      <x:c r="E21" s="12" t="str">
        <x:v>Hero</x:v>
      </x:c>
      <x:c r="F21" s="12" t="str">
        <x:v>Innocent</x:v>
      </x:c>
      <x:c r="G21" s="12" t="str">
        <x:v>JRPG</x:v>
      </x:c>
      <x:c r="H21" s="12" t="str">
        <x:v>Japan</x:v>
      </x:c>
      <x:c r="I21" s="12" t="str">
        <x:v>Silent defined protagonist</x:v>
      </x:c>
      <x:c r="J21" s="12" t="str">
        <x:v>Male</x:v>
      </x:c>
      <x:c r="K21" s="12" t="n">
        <x:v>0</x:v>
      </x:c>
      <x:c r="L21" s="12" t="n">
        <x:v>3</x:v>
      </x:c>
      <x:c r="M21" s="12" t="n">
        <x:v>2</x:v>
      </x:c>
      <x:c r="N21" s="12" t="str">
        <x:v>Silent hero of journey and friendship.</x:v>
      </x:c>
      <x:c r="O21" s="12" t="str">
        <x:v>Seed</x:v>
      </x:c>
    </x:row>
    <x:row r="22">
      <x:c r="A22" s="12" t="str">
        <x:v>1990s</x:v>
      </x:c>
      <x:c r="B22" s="12" t="n">
        <x:v>1996</x:v>
      </x:c>
      <x:c r="C22" s="12" t="str">
        <x:v>Tomb Raider</x:v>
      </x:c>
      <x:c r="D22" s="12" t="str">
        <x:v>Lara Croft</x:v>
      </x:c>
      <x:c r="E22" s="12" t="str">
        <x:v>Explorer</x:v>
      </x:c>
      <x:c r="F22" s="12" t="str">
        <x:v>Hero</x:v>
      </x:c>
      <x:c r="G22" s="12" t="str">
        <x:v>Action-adventure</x:v>
      </x:c>
      <x:c r="H22" s="12" t="str">
        <x:v>UK</x:v>
      </x:c>
      <x:c r="I22" s="12" t="str">
        <x:v>Defined protagonist</x:v>
      </x:c>
      <x:c r="J22" s="12" t="str">
        <x:v>Female</x:v>
      </x:c>
      <x:c r="K22" s="12" t="n">
        <x:v>1</x:v>
      </x:c>
      <x:c r="L22" s="12" t="n">
        <x:v>1</x:v>
      </x:c>
      <x:c r="M22" s="12" t="n">
        <x:v>2</x:v>
      </x:c>
      <x:c r="N22" s="12" t="str">
        <x:v>Archetypal adventurer and artifact seeker.</x:v>
      </x:c>
      <x:c r="O22" s="12" t="str">
        <x:v>Seed</x:v>
      </x:c>
    </x:row>
    <x:row r="23">
      <x:c r="A23" s="12" t="str">
        <x:v>1990s</x:v>
      </x:c>
      <x:c r="B23" s="12" t="n">
        <x:v>1996</x:v>
      </x:c>
      <x:c r="C23" s="12" t="str">
        <x:v>Resident Evil</x:v>
      </x:c>
      <x:c r="D23" s="12" t="str">
        <x:v>Jill Valentine / Chris Redfield</x:v>
      </x:c>
      <x:c r="E23" s="12" t="str">
        <x:v>Hero</x:v>
      </x:c>
      <x:c r="F23" s="12" t="str">
        <x:v>Everyman</x:v>
      </x:c>
      <x:c r="G23" s="12" t="str">
        <x:v>Survival horror</x:v>
      </x:c>
      <x:c r="H23" s="12" t="str">
        <x:v>Japan</x:v>
      </x:c>
      <x:c r="I23" s="12" t="str">
        <x:v>Selectable defined protagonist</x:v>
      </x:c>
      <x:c r="J23" s="12" t="str">
        <x:v>Male/Female</x:v>
      </x:c>
      <x:c r="K23" s="12" t="n">
        <x:v>2</x:v>
      </x:c>
      <x:c r="L23" s="12" t="n">
        <x:v>1</x:v>
      </x:c>
      <x:c r="M23" s="12" t="n">
        <x:v>2</x:v>
      </x:c>
      <x:c r="N23" s="12" t="str">
        <x:v>Professionals thrown into horror situation.</x:v>
      </x:c>
      <x:c r="O23" s="12" t="str">
        <x:v>Seed</x:v>
      </x:c>
    </x:row>
    <x:row r="24">
      <x:c r="A24" s="12" t="str">
        <x:v>1990s</x:v>
      </x:c>
      <x:c r="B24" s="12" t="n">
        <x:v>1997</x:v>
      </x:c>
      <x:c r="C24" s="12" t="str">
        <x:v>Final Fantasy VII</x:v>
      </x:c>
      <x:c r="D24" s="12" t="str">
        <x:v>Cloud Strife</x:v>
      </x:c>
      <x:c r="E24" s="12" t="str">
        <x:v>Hero</x:v>
      </x:c>
      <x:c r="F24" s="12" t="str">
        <x:v>Rebel</x:v>
      </x:c>
      <x:c r="G24" s="12" t="str">
        <x:v>JRPG</x:v>
      </x:c>
      <x:c r="H24" s="12" t="str">
        <x:v>Japan</x:v>
      </x:c>
      <x:c r="I24" s="12" t="str">
        <x:v>Defined protagonist</x:v>
      </x:c>
      <x:c r="J24" s="12" t="str">
        <x:v>Male</x:v>
      </x:c>
      <x:c r="K24" s="12" t="n">
        <x:v>3</x:v>
      </x:c>
      <x:c r="L24" s="12" t="n">
        <x:v>1</x:v>
      </x:c>
      <x:c r="M24" s="12" t="n">
        <x:v>3</x:v>
      </x:c>
      <x:c r="N24" s="12" t="str">
        <x:v>Hero with identity crisis and antihero frame.</x:v>
      </x:c>
      <x:c r="O24" s="12" t="str">
        <x:v>Seed</x:v>
      </x:c>
    </x:row>
    <x:row r="25">
      <x:c r="A25" s="12" t="str">
        <x:v>1990s</x:v>
      </x:c>
      <x:c r="B25" s="12" t="n">
        <x:v>1997</x:v>
      </x:c>
      <x:c r="C25" s="12" t="str">
        <x:v>Fallout</x:v>
      </x:c>
      <x:c r="D25" s="12" t="str">
        <x:v>Vault Dweller</x:v>
      </x:c>
      <x:c r="E25" s="12" t="str">
        <x:v>Explorer</x:v>
      </x:c>
      <x:c r="F25" s="12" t="str">
        <x:v>Everyman</x:v>
      </x:c>
      <x:c r="G25" s="12" t="str">
        <x:v>CRPG</x:v>
      </x:c>
      <x:c r="H25" s="12" t="str">
        <x:v>USA</x:v>
      </x:c>
      <x:c r="I25" s="12" t="str">
        <x:v>Customizable avatar</x:v>
      </x:c>
      <x:c r="J25" s="12" t="str">
        <x:v>Player-defined</x:v>
      </x:c>
      <x:c r="K25" s="12" t="n">
        <x:v>1</x:v>
      </x:c>
      <x:c r="L25" s="12" t="n">
        <x:v>3</x:v>
      </x:c>
      <x:c r="M25" s="12" t="n">
        <x:v>2</x:v>
      </x:c>
      <x:c r="N25" s="12" t="str">
        <x:v>Leaves safe world and enters wasteland.</x:v>
      </x:c>
      <x:c r="O25" s="12" t="str">
        <x:v>Seed</x:v>
      </x:c>
    </x:row>
    <x:row r="26">
      <x:c r="A26" s="12" t="str">
        <x:v>1990s</x:v>
      </x:c>
      <x:c r="B26" s="12" t="n">
        <x:v>1997</x:v>
      </x:c>
      <x:c r="C26" s="12" t="str">
        <x:v>Grand Theft Auto</x:v>
      </x:c>
      <x:c r="D26" s="12" t="str">
        <x:v>Criminal protagonist</x:v>
      </x:c>
      <x:c r="E26" s="12" t="str">
        <x:v>Rebel</x:v>
      </x:c>
      <x:c r="F26" s="12" t="str">
        <x:v>Jester</x:v>
      </x:c>
      <x:c r="G26" s="12" t="str">
        <x:v>Action / open world</x:v>
      </x:c>
      <x:c r="H26" s="12" t="str">
        <x:v>UK</x:v>
      </x:c>
      <x:c r="I26" s="12" t="str">
        <x:v>Player avatar / criminal role</x:v>
      </x:c>
      <x:c r="J26" s="12" t="str">
        <x:v>Player-defined / ambiguous</x:v>
      </x:c>
      <x:c r="K26" s="12" t="n">
        <x:v>1</x:v>
      </x:c>
      <x:c r="L26" s="12" t="n">
        <x:v>3</x:v>
      </x:c>
      <x:c r="M26" s="12" t="n">
        <x:v>0</x:v>
      </x:c>
      <x:c r="N26" s="12" t="str">
        <x:v>Player role as rule-breaker.</x:v>
      </x:c>
      <x:c r="O26" s="12" t="str">
        <x:v>Seed</x:v>
      </x:c>
    </x:row>
    <x:row r="27">
      <x:c r="A27" s="12" t="str">
        <x:v>1990s</x:v>
      </x:c>
      <x:c r="B27" s="12" t="n">
        <x:v>1998</x:v>
      </x:c>
      <x:c r="C27" s="12" t="str">
        <x:v>Half-Life</x:v>
      </x:c>
      <x:c r="D27" s="12" t="str">
        <x:v>Gordon Freeman</x:v>
      </x:c>
      <x:c r="E27" s="12" t="str">
        <x:v>Everyman</x:v>
      </x:c>
      <x:c r="F27" s="12" t="str">
        <x:v>Sage</x:v>
      </x:c>
      <x:c r="G27" s="12" t="str">
        <x:v>FPS</x:v>
      </x:c>
      <x:c r="H27" s="12" t="str">
        <x:v>USA</x:v>
      </x:c>
      <x:c r="I27" s="12" t="str">
        <x:v>Silent defined protagonist</x:v>
      </x:c>
      <x:c r="J27" s="12" t="str">
        <x:v>Male</x:v>
      </x:c>
      <x:c r="K27" s="12" t="n">
        <x:v>1</x:v>
      </x:c>
      <x:c r="L27" s="12" t="n">
        <x:v>3</x:v>
      </x:c>
      <x:c r="M27" s="12" t="n">
        <x:v>1</x:v>
      </x:c>
      <x:c r="N27" s="12" t="str">
        <x:v>Scientist thrown into catastrophe.</x:v>
      </x:c>
      <x:c r="O27" s="12" t="str">
        <x:v>Seed</x:v>
      </x:c>
    </x:row>
    <x:row r="28">
      <x:c r="A28" s="12" t="str">
        <x:v>1990s</x:v>
      </x:c>
      <x:c r="B28" s="12" t="n">
        <x:v>1998</x:v>
      </x:c>
      <x:c r="C28" s="12" t="str">
        <x:v>Metal Gear Solid</x:v>
      </x:c>
      <x:c r="D28" s="12" t="str">
        <x:v>Solid Snake</x:v>
      </x:c>
      <x:c r="E28" s="12" t="str">
        <x:v>Hero</x:v>
      </x:c>
      <x:c r="F28" s="12" t="str">
        <x:v>Sage</x:v>
      </x:c>
      <x:c r="G28" s="12" t="str">
        <x:v>Stealth action</x:v>
      </x:c>
      <x:c r="H28" s="12" t="str">
        <x:v>Japan</x:v>
      </x:c>
      <x:c r="I28" s="12" t="str">
        <x:v>Defined protagonist</x:v>
      </x:c>
      <x:c r="J28" s="12" t="str">
        <x:v>Male</x:v>
      </x:c>
      <x:c r="K28" s="12" t="n">
        <x:v>2</x:v>
      </x:c>
      <x:c r="L28" s="12" t="n">
        <x:v>1</x:v>
      </x:c>
      <x:c r="M28" s="12" t="n">
        <x:v>3</x:v>
      </x:c>
      <x:c r="N28" s="12" t="str">
        <x:v>Soldier and skeptical interpreter of war systems.</x:v>
      </x:c>
      <x:c r="O28" s="12" t="str">
        <x:v>Seed</x:v>
      </x:c>
    </x:row>
    <x:row r="29">
      <x:c r="A29" s="12" t="str">
        <x:v>1990s</x:v>
      </x:c>
      <x:c r="B29" s="12" t="n">
        <x:v>1998</x:v>
      </x:c>
      <x:c r="C29" s="12" t="str">
        <x:v>The Legend of Zelda: Ocarina of Time</x:v>
      </x:c>
      <x:c r="D29" s="12" t="str">
        <x:v>Link</x:v>
      </x:c>
      <x:c r="E29" s="12" t="str">
        <x:v>Hero</x:v>
      </x:c>
      <x:c r="F29" s="12" t="str">
        <x:v>Explorer</x:v>
      </x:c>
      <x:c r="G29" s="12" t="str">
        <x:v>Action-adventure</x:v>
      </x:c>
      <x:c r="H29" s="12" t="str">
        <x:v>Japan</x:v>
      </x:c>
      <x:c r="I29" s="12" t="str">
        <x:v>Silent defined protagonist</x:v>
      </x:c>
      <x:c r="J29" s="12" t="str">
        <x:v>Male</x:v>
      </x:c>
      <x:c r="K29" s="12" t="n">
        <x:v>1</x:v>
      </x:c>
      <x:c r="L29" s="12" t="n">
        <x:v>3</x:v>
      </x:c>
      <x:c r="M29" s="12" t="n">
        <x:v>2</x:v>
      </x:c>
      <x:c r="N29" s="12" t="str">
        <x:v>Epic hero of journey.</x:v>
      </x:c>
      <x:c r="O29" s="12" t="str">
        <x:v>Seed</x:v>
      </x:c>
    </x:row>
    <x:row r="30">
      <x:c r="A30" s="12" t="str">
        <x:v>1990s</x:v>
      </x:c>
      <x:c r="B30" s="12" t="n">
        <x:v>1999</x:v>
      </x:c>
      <x:c r="C30" s="12" t="str">
        <x:v>Silent Hill</x:v>
      </x:c>
      <x:c r="D30" s="12" t="str">
        <x:v>Harry Mason</x:v>
      </x:c>
      <x:c r="E30" s="12" t="str">
        <x:v>Caregiver</x:v>
      </x:c>
      <x:c r="F30" s="12" t="str">
        <x:v>Everyman</x:v>
      </x:c>
      <x:c r="G30" s="12" t="str">
        <x:v>Survival horror</x:v>
      </x:c>
      <x:c r="H30" s="12" t="str">
        <x:v>Japan</x:v>
      </x:c>
      <x:c r="I30" s="12" t="str">
        <x:v>Defined protagonist</x:v>
      </x:c>
      <x:c r="J30" s="12" t="str">
        <x:v>Male</x:v>
      </x:c>
      <x:c r="K30" s="12" t="n">
        <x:v>3</x:v>
      </x:c>
      <x:c r="L30" s="12" t="n">
        <x:v>1</x:v>
      </x:c>
      <x:c r="M30" s="12" t="n">
        <x:v>2</x:v>
      </x:c>
      <x:c r="N30" s="12" t="str">
        <x:v>Father seeking his daughter; civil vulnerability.</x:v>
      </x:c>
      <x:c r="O30" s="12" t="str">
        <x:v>Seed</x:v>
      </x:c>
    </x:row>
    <x:row r="31">
      <x:c r="A31" s="12" t="str">
        <x:v>1990s</x:v>
      </x:c>
      <x:c r="B31" s="12" t="n">
        <x:v>1999</x:v>
      </x:c>
      <x:c r="C31" s="12" t="str">
        <x:v>Planescape: Torment</x:v>
      </x:c>
      <x:c r="D31" s="12" t="str">
        <x:v>The Nameless One</x:v>
      </x:c>
      <x:c r="E31" s="12" t="str">
        <x:v>Sage</x:v>
      </x:c>
      <x:c r="F31" s="12" t="str">
        <x:v>Magician</x:v>
      </x:c>
      <x:c r="G31" s="12" t="str">
        <x:v>CRPG</x:v>
      </x:c>
      <x:c r="H31" s="12" t="str">
        <x:v>USA</x:v>
      </x:c>
      <x:c r="I31" s="12" t="str">
        <x:v>Defined protagonist with choices</x:v>
      </x:c>
      <x:c r="J31" s="12" t="str">
        <x:v>Male</x:v>
      </x:c>
      <x:c r="K31" s="12" t="n">
        <x:v>3</x:v>
      </x:c>
      <x:c r="L31" s="12" t="n">
        <x:v>2</x:v>
      </x:c>
      <x:c r="M31" s="12" t="n">
        <x:v>3</x:v>
      </x:c>
      <x:c r="N31" s="12" t="str">
        <x:v>Self-knowledge, memory, metaphysical transformation.</x:v>
      </x:c>
      <x:c r="O31" s="12" t="str">
        <x:v>Seed</x:v>
      </x:c>
    </x:row>
    <x:row r="32">
      <x:c r="A32" s="12" t="str">
        <x:v>2000s</x:v>
      </x:c>
      <x:c r="B32" s="12" t="n">
        <x:v>2000</x:v>
      </x:c>
      <x:c r="C32" s="12" t="str">
        <x:v>Deus Ex</x:v>
      </x:c>
      <x:c r="D32" s="12" t="str">
        <x:v>JC Denton</x:v>
      </x:c>
      <x:c r="E32" s="12" t="str">
        <x:v>Sage</x:v>
      </x:c>
      <x:c r="F32" s="12" t="str">
        <x:v>Magician</x:v>
      </x:c>
      <x:c r="G32" s="12" t="str">
        <x:v>Immersive sim / RPG</x:v>
      </x:c>
      <x:c r="H32" s="12" t="str">
        <x:v>USA</x:v>
      </x:c>
      <x:c r="I32" s="12" t="str">
        <x:v>Defined protagonist with choices</x:v>
      </x:c>
      <x:c r="J32" s="12" t="str">
        <x:v>Male</x:v>
      </x:c>
      <x:c r="K32" s="12" t="n">
        <x:v>2</x:v>
      </x:c>
      <x:c r="L32" s="12" t="n">
        <x:v>2</x:v>
      </x:c>
      <x:c r="M32" s="12" t="n">
        <x:v>3</x:v>
      </x:c>
      <x:c r="N32" s="12" t="str">
        <x:v>Uncovering hidden systems and transforming them.</x:v>
      </x:c>
      <x:c r="O32" s="12" t="str">
        <x:v>Seed</x:v>
      </x:c>
    </x:row>
    <x:row r="33">
      <x:c r="A33" s="12" t="str">
        <x:v>2000s</x:v>
      </x:c>
      <x:c r="B33" s="12" t="n">
        <x:v>2001</x:v>
      </x:c>
      <x:c r="C33" s="12" t="str">
        <x:v>Max Payne</x:v>
      </x:c>
      <x:c r="D33" s="12" t="str">
        <x:v>Max Payne</x:v>
      </x:c>
      <x:c r="E33" s="12" t="str">
        <x:v>Rebel</x:v>
      </x:c>
      <x:c r="F33" s="12" t="str">
        <x:v>Lover</x:v>
      </x:c>
      <x:c r="G33" s="12" t="str">
        <x:v>Third-person shooter</x:v>
      </x:c>
      <x:c r="H33" s="12" t="str">
        <x:v>Finland / USA</x:v>
      </x:c>
      <x:c r="I33" s="12" t="str">
        <x:v>Defined protagonist</x:v>
      </x:c>
      <x:c r="J33" s="12" t="str">
        <x:v>Male</x:v>
      </x:c>
      <x:c r="K33" s="12" t="n">
        <x:v>3</x:v>
      </x:c>
      <x:c r="L33" s="12" t="n">
        <x:v>1</x:v>
      </x:c>
      <x:c r="M33" s="12" t="n">
        <x:v>3</x:v>
      </x:c>
      <x:c r="N33" s="12" t="str">
        <x:v>Noir antihero driven by loss and revenge.</x:v>
      </x:c>
      <x:c r="O33" s="12" t="str">
        <x:v>Seed</x:v>
      </x:c>
    </x:row>
    <x:row r="34">
      <x:c r="A34" s="12" t="str">
        <x:v>2000s</x:v>
      </x:c>
      <x:c r="B34" s="12" t="n">
        <x:v>2001</x:v>
      </x:c>
      <x:c r="C34" s="12" t="str">
        <x:v>Halo: Combat Evolved</x:v>
      </x:c>
      <x:c r="D34" s="12" t="str">
        <x:v>Master Chief</x:v>
      </x:c>
      <x:c r="E34" s="12" t="str">
        <x:v>Hero</x:v>
      </x:c>
      <x:c r="F34" s="12" t="str">
        <x:v>Ruler</x:v>
      </x:c>
      <x:c r="G34" s="12" t="str">
        <x:v>FPS</x:v>
      </x:c>
      <x:c r="H34" s="12" t="str">
        <x:v>USA</x:v>
      </x:c>
      <x:c r="I34" s="12" t="str">
        <x:v>Defined but masked protagonist</x:v>
      </x:c>
      <x:c r="J34" s="12" t="str">
        <x:v>Male</x:v>
      </x:c>
      <x:c r="K34" s="12" t="n">
        <x:v>1</x:v>
      </x:c>
      <x:c r="L34" s="12" t="n">
        <x:v>2</x:v>
      </x:c>
      <x:c r="M34" s="12" t="n">
        <x:v>1</x:v>
      </x:c>
      <x:c r="N34" s="12" t="str">
        <x:v>Military savior, discipline and control.</x:v>
      </x:c>
      <x:c r="O34" s="12" t="str">
        <x:v>Seed</x:v>
      </x:c>
    </x:row>
    <x:row r="35">
      <x:c r="A35" s="12" t="str">
        <x:v>2000s</x:v>
      </x:c>
      <x:c r="B35" s="12" t="n">
        <x:v>2001</x:v>
      </x:c>
      <x:c r="C35" s="12" t="str">
        <x:v>Ico</x:v>
      </x:c>
      <x:c r="D35" s="12" t="str">
        <x:v>Ico</x:v>
      </x:c>
      <x:c r="E35" s="12" t="str">
        <x:v>Caregiver</x:v>
      </x:c>
      <x:c r="F35" s="12" t="str">
        <x:v>Innocent</x:v>
      </x:c>
      <x:c r="G35" s="12" t="str">
        <x:v>Action-adventure / puzzle</x:v>
      </x:c>
      <x:c r="H35" s="12" t="str">
        <x:v>Japan</x:v>
      </x:c>
      <x:c r="I35" s="12" t="str">
        <x:v>Defined protagonist</x:v>
      </x:c>
      <x:c r="J35" s="12" t="str">
        <x:v>Male</x:v>
      </x:c>
      <x:c r="K35" s="12" t="n">
        <x:v>1</x:v>
      </x:c>
      <x:c r="L35" s="12" t="n">
        <x:v>1</x:v>
      </x:c>
      <x:c r="M35" s="12" t="n">
        <x:v>2</x:v>
      </x:c>
      <x:c r="N35" s="12" t="str">
        <x:v>Care, protection, vulnerable pair.</x:v>
      </x:c>
      <x:c r="O35" s="12" t="str">
        <x:v>Seed</x:v>
      </x:c>
    </x:row>
    <x:row r="36">
      <x:c r="A36" s="12" t="str">
        <x:v>2000s</x:v>
      </x:c>
      <x:c r="B36" s="12" t="n">
        <x:v>2001</x:v>
      </x:c>
      <x:c r="C36" s="12" t="str">
        <x:v>Silent Hill 2</x:v>
      </x:c>
      <x:c r="D36" s="12" t="str">
        <x:v>James Sunderland</x:v>
      </x:c>
      <x:c r="E36" s="12" t="str">
        <x:v>Everyman</x:v>
      </x:c>
      <x:c r="F36" s="12" t="str">
        <x:v>Lover</x:v>
      </x:c>
      <x:c r="G36" s="12" t="str">
        <x:v>Survival horror</x:v>
      </x:c>
      <x:c r="H36" s="12" t="str">
        <x:v>Japan</x:v>
      </x:c>
      <x:c r="I36" s="12" t="str">
        <x:v>Defined protagonist</x:v>
      </x:c>
      <x:c r="J36" s="12" t="str">
        <x:v>Male</x:v>
      </x:c>
      <x:c r="K36" s="12" t="n">
        <x:v>3</x:v>
      </x:c>
      <x:c r="L36" s="12" t="n">
        <x:v>1</x:v>
      </x:c>
      <x:c r="M36" s="12" t="n">
        <x:v>3</x:v>
      </x:c>
      <x:c r="N36" s="12" t="str">
        <x:v>Guilt, relationship, identity collapse.</x:v>
      </x:c>
      <x:c r="O36" s="12" t="str">
        <x:v>Seed</x:v>
      </x:c>
    </x:row>
    <x:row r="37">
      <x:c r="A37" s="12" t="str">
        <x:v>2000s</x:v>
      </x:c>
      <x:c r="B37" s="12" t="n">
        <x:v>2002</x:v>
      </x:c>
      <x:c r="C37" s="12" t="str">
        <x:v>Metroid Prime</x:v>
      </x:c>
      <x:c r="D37" s="12" t="str">
        <x:v>Samus Aran</x:v>
      </x:c>
      <x:c r="E37" s="12" t="str">
        <x:v>Explorer</x:v>
      </x:c>
      <x:c r="F37" s="12" t="str">
        <x:v>Hero</x:v>
      </x:c>
      <x:c r="G37" s="12" t="str">
        <x:v>Action-adventure / FPS</x:v>
      </x:c>
      <x:c r="H37" s="12" t="str">
        <x:v>Japan / USA</x:v>
      </x:c>
      <x:c r="I37" s="12" t="str">
        <x:v>Defined protagonist</x:v>
      </x:c>
      <x:c r="J37" s="12" t="str">
        <x:v>Female</x:v>
      </x:c>
      <x:c r="K37" s="12" t="n">
        <x:v>1</x:v>
      </x:c>
      <x:c r="L37" s="12" t="n">
        <x:v>1</x:v>
      </x:c>
      <x:c r="M37" s="12" t="n">
        <x:v>2</x:v>
      </x:c>
      <x:c r="N37" s="12" t="str">
        <x:v>Solitude, exploration, ecological-technological threat.</x:v>
      </x:c>
      <x:c r="O37" s="12" t="str">
        <x:v>Seed</x:v>
      </x:c>
    </x:row>
    <x:row r="38">
      <x:c r="A38" s="12" t="str">
        <x:v>2000s</x:v>
      </x:c>
      <x:c r="B38" s="12" t="n">
        <x:v>2002</x:v>
      </x:c>
      <x:c r="C38" s="12" t="str">
        <x:v>Kingdom Hearts</x:v>
      </x:c>
      <x:c r="D38" s="12" t="str">
        <x:v>Sora</x:v>
      </x:c>
      <x:c r="E38" s="12" t="str">
        <x:v>Innocent</x:v>
      </x:c>
      <x:c r="F38" s="12" t="str">
        <x:v>Hero</x:v>
      </x:c>
      <x:c r="G38" s="12" t="str">
        <x:v>Action RPG</x:v>
      </x:c>
      <x:c r="H38" s="12" t="str">
        <x:v>Japan</x:v>
      </x:c>
      <x:c r="I38" s="12" t="str">
        <x:v>Defined protagonist</x:v>
      </x:c>
      <x:c r="J38" s="12" t="str">
        <x:v>Male</x:v>
      </x:c>
      <x:c r="K38" s="12" t="n">
        <x:v>0</x:v>
      </x:c>
      <x:c r="L38" s="12" t="n">
        <x:v>1</x:v>
      </x:c>
      <x:c r="M38" s="12" t="n">
        <x:v>2</x:v>
      </x:c>
      <x:c r="N38" s="12" t="str">
        <x:v>Friendship, light, childlike purity.</x:v>
      </x:c>
      <x:c r="O38" s="12" t="str">
        <x:v>Seed</x:v>
      </x:c>
    </x:row>
    <x:row r="39">
      <x:c r="A39" s="12" t="str">
        <x:v>2000s</x:v>
      </x:c>
      <x:c r="B39" s="12" t="n">
        <x:v>2003</x:v>
      </x:c>
      <x:c r="C39" s="12" t="str">
        <x:v>Prince of Persia: The Sands of Time</x:v>
      </x:c>
      <x:c r="D39" s="12" t="str">
        <x:v>Prince</x:v>
      </x:c>
      <x:c r="E39" s="12" t="str">
        <x:v>Hero</x:v>
      </x:c>
      <x:c r="F39" s="12" t="str">
        <x:v>Lover</x:v>
      </x:c>
      <x:c r="G39" s="12" t="str">
        <x:v>Action-adventure</x:v>
      </x:c>
      <x:c r="H39" s="12" t="str">
        <x:v>France</x:v>
      </x:c>
      <x:c r="I39" s="12" t="str">
        <x:v>Defined protagonist</x:v>
      </x:c>
      <x:c r="J39" s="12" t="str">
        <x:v>Male</x:v>
      </x:c>
      <x:c r="K39" s="12" t="n">
        <x:v>1</x:v>
      </x:c>
      <x:c r="L39" s="12" t="n">
        <x:v>1</x:v>
      </x:c>
      <x:c r="M39" s="12" t="n">
        <x:v>2</x:v>
      </x:c>
      <x:c r="N39" s="12" t="str">
        <x:v>Romantic adventure and transformation.</x:v>
      </x:c>
      <x:c r="O39" s="12" t="str">
        <x:v>Seed</x:v>
      </x:c>
    </x:row>
    <x:row r="40">
      <x:c r="A40" s="12" t="str">
        <x:v>2000s</x:v>
      </x:c>
      <x:c r="B40" s="12" t="n">
        <x:v>2003</x:v>
      </x:c>
      <x:c r="C40" s="12" t="str">
        <x:v>Star Wars: Knights of the Old Republic</x:v>
      </x:c>
      <x:c r="D40" s="12" t="str">
        <x:v>Revan / player character</x:v>
      </x:c>
      <x:c r="E40" s="12" t="str">
        <x:v>Magician</x:v>
      </x:c>
      <x:c r="F40" s="12" t="str">
        <x:v>Hero</x:v>
      </x:c>
      <x:c r="G40" s="12" t="str">
        <x:v>RPG</x:v>
      </x:c>
      <x:c r="H40" s="12" t="str">
        <x:v>Canada</x:v>
      </x:c>
      <x:c r="I40" s="12" t="str">
        <x:v>Customizable avatar / hidden identity</x:v>
      </x:c>
      <x:c r="J40" s="12" t="str">
        <x:v>Player-defined</x:v>
      </x:c>
      <x:c r="K40" s="12" t="n">
        <x:v>3</x:v>
      </x:c>
      <x:c r="L40" s="12" t="n">
        <x:v>3</x:v>
      </x:c>
      <x:c r="M40" s="12" t="n">
        <x:v>3</x:v>
      </x:c>
      <x:c r="N40" s="12" t="str">
        <x:v>Identity, transformation, fall or redemption.</x:v>
      </x:c>
      <x:c r="O40" s="12" t="str">
        <x:v>Seed</x:v>
      </x:c>
    </x:row>
    <x:row r="41">
      <x:c r="A41" s="12" t="str">
        <x:v>2000s</x:v>
      </x:c>
      <x:c r="B41" s="12" t="n">
        <x:v>2004</x:v>
      </x:c>
      <x:c r="C41" s="12" t="str">
        <x:v>Half-Life 2</x:v>
      </x:c>
      <x:c r="D41" s="12" t="str">
        <x:v>Gordon Freeman</x:v>
      </x:c>
      <x:c r="E41" s="12" t="str">
        <x:v>Everyman</x:v>
      </x:c>
      <x:c r="F41" s="12" t="str">
        <x:v>Hero</x:v>
      </x:c>
      <x:c r="G41" s="12" t="str">
        <x:v>FPS</x:v>
      </x:c>
      <x:c r="H41" s="12" t="str">
        <x:v>USA</x:v>
      </x:c>
      <x:c r="I41" s="12" t="str">
        <x:v>Silent defined protagonist</x:v>
      </x:c>
      <x:c r="J41" s="12" t="str">
        <x:v>Male</x:v>
      </x:c>
      <x:c r="K41" s="12" t="n">
        <x:v>1</x:v>
      </x:c>
      <x:c r="L41" s="12" t="n">
        <x:v>3</x:v>
      </x:c>
      <x:c r="M41" s="12" t="n">
        <x:v>2</x:v>
      </x:c>
      <x:c r="N41" s="12" t="str">
        <x:v>Scientist as symbol of resistance.</x:v>
      </x:c>
      <x:c r="O41" s="12" t="str">
        <x:v>Seed</x:v>
      </x:c>
    </x:row>
    <x:row r="42">
      <x:c r="A42" s="12" t="str">
        <x:v>2000s</x:v>
      </x:c>
      <x:c r="B42" s="12" t="n">
        <x:v>2004</x:v>
      </x:c>
      <x:c r="C42" s="12" t="str">
        <x:v>GTA: San Andreas</x:v>
      </x:c>
      <x:c r="D42" s="12" t="str">
        <x:v>Carl Johnson</x:v>
      </x:c>
      <x:c r="E42" s="12" t="str">
        <x:v>Rebel</x:v>
      </x:c>
      <x:c r="F42" s="12" t="str">
        <x:v>Caregiver</x:v>
      </x:c>
      <x:c r="G42" s="12" t="str">
        <x:v>Open world action</x:v>
      </x:c>
      <x:c r="H42" s="12" t="str">
        <x:v>UK</x:v>
      </x:c>
      <x:c r="I42" s="12" t="str">
        <x:v>Defined protagonist</x:v>
      </x:c>
      <x:c r="J42" s="12" t="str">
        <x:v>Male</x:v>
      </x:c>
      <x:c r="K42" s="12" t="n">
        <x:v>2</x:v>
      </x:c>
      <x:c r="L42" s="12" t="n">
        <x:v>1</x:v>
      </x:c>
      <x:c r="M42" s="12" t="n">
        <x:v>2</x:v>
      </x:c>
      <x:c r="N42" s="12" t="str">
        <x:v>Crime, family, community, return home.</x:v>
      </x:c>
      <x:c r="O42" s="12" t="str">
        <x:v>Seed</x:v>
      </x:c>
    </x:row>
    <x:row r="43">
      <x:c r="A43" s="12" t="str">
        <x:v>2000s</x:v>
      </x:c>
      <x:c r="B43" s="12" t="n">
        <x:v>2005</x:v>
      </x:c>
      <x:c r="C43" s="12" t="str">
        <x:v>God of War</x:v>
      </x:c>
      <x:c r="D43" s="12" t="str">
        <x:v>Kratos</x:v>
      </x:c>
      <x:c r="E43" s="12" t="str">
        <x:v>Rebel</x:v>
      </x:c>
      <x:c r="F43" s="12" t="str">
        <x:v>Hero</x:v>
      </x:c>
      <x:c r="G43" s="12" t="str">
        <x:v>Action-adventure</x:v>
      </x:c>
      <x:c r="H43" s="12" t="str">
        <x:v>USA</x:v>
      </x:c>
      <x:c r="I43" s="12" t="str">
        <x:v>Defined protagonist</x:v>
      </x:c>
      <x:c r="J43" s="12" t="str">
        <x:v>Male</x:v>
      </x:c>
      <x:c r="K43" s="12" t="n">
        <x:v>3</x:v>
      </x:c>
      <x:c r="L43" s="12" t="n">
        <x:v>1</x:v>
      </x:c>
      <x:c r="M43" s="12" t="n">
        <x:v>2</x:v>
      </x:c>
      <x:c r="N43" s="12" t="str">
        <x:v>Revenge, violence, defiance of gods.</x:v>
      </x:c>
      <x:c r="O43" s="12" t="str">
        <x:v>Seed</x:v>
      </x:c>
    </x:row>
    <x:row r="44">
      <x:c r="A44" s="12" t="str">
        <x:v>2000s</x:v>
      </x:c>
      <x:c r="B44" s="12" t="n">
        <x:v>2005</x:v>
      </x:c>
      <x:c r="C44" s="12" t="str">
        <x:v>Shadow of the Colossus</x:v>
      </x:c>
      <x:c r="D44" s="12" t="str">
        <x:v>Wander</x:v>
      </x:c>
      <x:c r="E44" s="12" t="str">
        <x:v>Lover</x:v>
      </x:c>
      <x:c r="F44" s="12" t="str">
        <x:v>Rebel</x:v>
      </x:c>
      <x:c r="G44" s="12" t="str">
        <x:v>Action-adventure</x:v>
      </x:c>
      <x:c r="H44" s="12" t="str">
        <x:v>Japan</x:v>
      </x:c>
      <x:c r="I44" s="12" t="str">
        <x:v>Defined protagonist</x:v>
      </x:c>
      <x:c r="J44" s="12" t="str">
        <x:v>Male</x:v>
      </x:c>
      <x:c r="K44" s="12" t="n">
        <x:v>3</x:v>
      </x:c>
      <x:c r="L44" s="12" t="n">
        <x:v>1</x:v>
      </x:c>
      <x:c r="M44" s="12" t="n">
        <x:v>3</x:v>
      </x:c>
      <x:c r="N44" s="12" t="str">
        <x:v>Crosses moral boundary for beloved.</x:v>
      </x:c>
      <x:c r="O44" s="12" t="str">
        <x:v>Seed</x:v>
      </x:c>
    </x:row>
    <x:row r="45">
      <x:c r="A45" s="12" t="str">
        <x:v>2000s</x:v>
      </x:c>
      <x:c r="B45" s="12" t="n">
        <x:v>2005</x:v>
      </x:c>
      <x:c r="C45" s="12" t="str">
        <x:v>Psychonauts</x:v>
      </x:c>
      <x:c r="D45" s="12" t="str">
        <x:v>Razputin</x:v>
      </x:c>
      <x:c r="E45" s="12" t="str">
        <x:v>Magician</x:v>
      </x:c>
      <x:c r="F45" s="12" t="str">
        <x:v>Jester</x:v>
      </x:c>
      <x:c r="G45" s="12" t="str">
        <x:v>Platformer / adventure</x:v>
      </x:c>
      <x:c r="H45" s="12" t="str">
        <x:v>USA</x:v>
      </x:c>
      <x:c r="I45" s="12" t="str">
        <x:v>Defined protagonist</x:v>
      </x:c>
      <x:c r="J45" s="12" t="str">
        <x:v>Male</x:v>
      </x:c>
      <x:c r="K45" s="12" t="n">
        <x:v>1</x:v>
      </x:c>
      <x:c r="L45" s="12" t="n">
        <x:v>1</x:v>
      </x:c>
      <x:c r="M45" s="12" t="n">
        <x:v>2</x:v>
      </x:c>
      <x:c r="N45" s="12" t="str">
        <x:v>Entering minds, comedy, transformation of inner worlds.</x:v>
      </x:c>
      <x:c r="O45" s="12" t="str">
        <x:v>Seed</x:v>
      </x:c>
    </x:row>
    <x:row r="46">
      <x:c r="A46" s="12" t="str">
        <x:v>2000s</x:v>
      </x:c>
      <x:c r="B46" s="12" t="n">
        <x:v>2006</x:v>
      </x:c>
      <x:c r="C46" s="12" t="str">
        <x:v>The Legend of Zelda: Twilight Princess</x:v>
      </x:c>
      <x:c r="D46" s="12" t="str">
        <x:v>Link</x:v>
      </x:c>
      <x:c r="E46" s="12" t="str">
        <x:v>Hero</x:v>
      </x:c>
      <x:c r="F46" s="12" t="str">
        <x:v>Explorer</x:v>
      </x:c>
      <x:c r="G46" s="12" t="str">
        <x:v>Action-adventure</x:v>
      </x:c>
      <x:c r="H46" s="12" t="str">
        <x:v>Japan</x:v>
      </x:c>
      <x:c r="I46" s="12" t="str">
        <x:v>Silent defined protagonist</x:v>
      </x:c>
      <x:c r="J46" s="12" t="str">
        <x:v>Male</x:v>
      </x:c>
      <x:c r="K46" s="12" t="n">
        <x:v>1</x:v>
      </x:c>
      <x:c r="L46" s="12" t="n">
        <x:v>3</x:v>
      </x:c>
      <x:c r="M46" s="12" t="n">
        <x:v>2</x:v>
      </x:c>
      <x:c r="N46" s="12" t="str">
        <x:v>Darker version of classical hero.</x:v>
      </x:c>
      <x:c r="O46" s="12" t="str">
        <x:v>Seed</x:v>
      </x:c>
    </x:row>
    <x:row r="47">
      <x:c r="A47" s="12" t="str">
        <x:v>2000s</x:v>
      </x:c>
      <x:c r="B47" s="12" t="n">
        <x:v>2007</x:v>
      </x:c>
      <x:c r="C47" s="12" t="str">
        <x:v>BioShock</x:v>
      </x:c>
      <x:c r="D47" s="12" t="str">
        <x:v>Jack</x:v>
      </x:c>
      <x:c r="E47" s="12" t="str">
        <x:v>Everyman</x:v>
      </x:c>
      <x:c r="F47" s="12" t="str">
        <x:v>Rebel</x:v>
      </x:c>
      <x:c r="G47" s="12" t="str">
        <x:v>Immersive sim / FPS</x:v>
      </x:c>
      <x:c r="H47" s="12" t="str">
        <x:v>USA</x:v>
      </x:c>
      <x:c r="I47" s="12" t="str">
        <x:v>Defined but twist-based protagonist</x:v>
      </x:c>
      <x:c r="J47" s="12" t="str">
        <x:v>Male</x:v>
      </x:c>
      <x:c r="K47" s="12" t="n">
        <x:v>3</x:v>
      </x:c>
      <x:c r="L47" s="12" t="n">
        <x:v>2</x:v>
      </x:c>
      <x:c r="M47" s="12" t="n">
        <x:v>3</x:v>
      </x:c>
      <x:c r="N47" s="12" t="str">
        <x:v>Manipulation and illusion of agency.</x:v>
      </x:c>
      <x:c r="O47" s="12" t="str">
        <x:v>Seed</x:v>
      </x:c>
    </x:row>
    <x:row r="48">
      <x:c r="A48" s="12" t="str">
        <x:v>2000s</x:v>
      </x:c>
      <x:c r="B48" s="12" t="n">
        <x:v>2007</x:v>
      </x:c>
      <x:c r="C48" s="12" t="str">
        <x:v>Mass Effect</x:v>
      </x:c>
      <x:c r="D48" s="12" t="str">
        <x:v>Commander Shepard</x:v>
      </x:c>
      <x:c r="E48" s="12" t="str">
        <x:v>Ruler</x:v>
      </x:c>
      <x:c r="F48" s="12" t="str">
        <x:v>Hero</x:v>
      </x:c>
      <x:c r="G48" s="12" t="str">
        <x:v>Action RPG</x:v>
      </x:c>
      <x:c r="H48" s="12" t="str">
        <x:v>Canada</x:v>
      </x:c>
      <x:c r="I48" s="12" t="str">
        <x:v>Customizable defined role</x:v>
      </x:c>
      <x:c r="J48" s="12" t="str">
        <x:v>Player-defined</x:v>
      </x:c>
      <x:c r="K48" s="12" t="n">
        <x:v>1</x:v>
      </x:c>
      <x:c r="L48" s="12" t="n">
        <x:v>2</x:v>
      </x:c>
      <x:c r="M48" s="12" t="n">
        <x:v>3</x:v>
      </x:c>
      <x:c r="N48" s="12" t="str">
        <x:v>Leader, decision-making, responsibility for civilization.</x:v>
      </x:c>
      <x:c r="O48" s="12" t="str">
        <x:v>Seed</x:v>
      </x:c>
    </x:row>
    <x:row r="49">
      <x:c r="A49" s="12" t="str">
        <x:v>2000s</x:v>
      </x:c>
      <x:c r="B49" s="12" t="n">
        <x:v>2007</x:v>
      </x:c>
      <x:c r="C49" s="12" t="str">
        <x:v>Portal</x:v>
      </x:c>
      <x:c r="D49" s="12" t="str">
        <x:v>Chell</x:v>
      </x:c>
      <x:c r="E49" s="12" t="str">
        <x:v>Rebel</x:v>
      </x:c>
      <x:c r="F49" s="12" t="str">
        <x:v>Everyman</x:v>
      </x:c>
      <x:c r="G49" s="12" t="str">
        <x:v>Puzzle platformer</x:v>
      </x:c>
      <x:c r="H49" s="12" t="str">
        <x:v>USA</x:v>
      </x:c>
      <x:c r="I49" s="12" t="str">
        <x:v>Silent defined protagonist</x:v>
      </x:c>
      <x:c r="J49" s="12" t="str">
        <x:v>Female</x:v>
      </x:c>
      <x:c r="K49" s="12" t="n">
        <x:v>1</x:v>
      </x:c>
      <x:c r="L49" s="12" t="n">
        <x:v>3</x:v>
      </x:c>
      <x:c r="M49" s="12" t="n">
        <x:v>1</x:v>
      </x:c>
      <x:c r="N49" s="12" t="str">
        <x:v>Silent resistance against experimental system.</x:v>
      </x:c>
      <x:c r="O49" s="12" t="str">
        <x:v>Seed</x:v>
      </x:c>
    </x:row>
    <x:row r="50">
      <x:c r="A50" s="12" t="str">
        <x:v>2000s</x:v>
      </x:c>
      <x:c r="B50" s="12" t="n">
        <x:v>2007</x:v>
      </x:c>
      <x:c r="C50" s="12" t="str">
        <x:v>Assassin’s Creed</x:v>
      </x:c>
      <x:c r="D50" s="12" t="str">
        <x:v>Altaïr</x:v>
      </x:c>
      <x:c r="E50" s="12" t="str">
        <x:v>Rebel</x:v>
      </x:c>
      <x:c r="F50" s="12" t="str">
        <x:v>Sage</x:v>
      </x:c>
      <x:c r="G50" s="12" t="str">
        <x:v>Action-adventure</x:v>
      </x:c>
      <x:c r="H50" s="12" t="str">
        <x:v>Canada</x:v>
      </x:c>
      <x:c r="I50" s="12" t="str">
        <x:v>Defined protagonist</x:v>
      </x:c>
      <x:c r="J50" s="12" t="str">
        <x:v>Male</x:v>
      </x:c>
      <x:c r="K50" s="12" t="n">
        <x:v>2</x:v>
      </x:c>
      <x:c r="L50" s="12" t="n">
        <x:v>1</x:v>
      </x:c>
      <x:c r="M50" s="12" t="n">
        <x:v>2</x:v>
      </x:c>
      <x:c r="N50" s="12" t="str">
        <x:v>Outlaw rethinking dogma through knowledge.</x:v>
      </x:c>
      <x:c r="O50" s="12" t="str">
        <x:v>Seed</x:v>
      </x:c>
    </x:row>
    <x:row r="51">
      <x:c r="A51" s="12" t="str">
        <x:v>2000s</x:v>
      </x:c>
      <x:c r="B51" s="12" t="n">
        <x:v>2007</x:v>
      </x:c>
      <x:c r="C51" s="12" t="str">
        <x:v>Uncharted: Drake’s Fortune</x:v>
      </x:c>
      <x:c r="D51" s="12" t="str">
        <x:v>Nathan Drake</x:v>
      </x:c>
      <x:c r="E51" s="12" t="str">
        <x:v>Explorer</x:v>
      </x:c>
      <x:c r="F51" s="12" t="str">
        <x:v>Jester</x:v>
      </x:c>
      <x:c r="G51" s="12" t="str">
        <x:v>Action-adventure</x:v>
      </x:c>
      <x:c r="H51" s="12" t="str">
        <x:v>USA</x:v>
      </x:c>
      <x:c r="I51" s="12" t="str">
        <x:v>Defined protagonist</x:v>
      </x:c>
      <x:c r="J51" s="12" t="str">
        <x:v>Male</x:v>
      </x:c>
      <x:c r="K51" s="12" t="n">
        <x:v>0</x:v>
      </x:c>
      <x:c r="L51" s="12" t="n">
        <x:v>1</x:v>
      </x:c>
      <x:c r="M51" s="12" t="n">
        <x:v>2</x:v>
      </x:c>
      <x:c r="N51" s="12" t="str">
        <x:v>Adventure, irony, treasure, pulp.</x:v>
      </x:c>
      <x:c r="O51" s="12" t="str">
        <x:v>Seed</x:v>
      </x:c>
    </x:row>
    <x:row r="52">
      <x:c r="A52" s="12" t="str">
        <x:v>2000s</x:v>
      </x:c>
      <x:c r="B52" s="12" t="n">
        <x:v>2008</x:v>
      </x:c>
      <x:c r="C52" s="12" t="str">
        <x:v>Mirror’s Edge</x:v>
      </x:c>
      <x:c r="D52" s="12" t="str">
        <x:v>Faith Connors</x:v>
      </x:c>
      <x:c r="E52" s="12" t="str">
        <x:v>Rebel</x:v>
      </x:c>
      <x:c r="F52" s="12" t="str">
        <x:v>Explorer</x:v>
      </x:c>
      <x:c r="G52" s="12" t="str">
        <x:v>Action-adventure / parkour</x:v>
      </x:c>
      <x:c r="H52" s="12" t="str">
        <x:v>Sweden</x:v>
      </x:c>
      <x:c r="I52" s="12" t="str">
        <x:v>Defined protagonist</x:v>
      </x:c>
      <x:c r="J52" s="12" t="str">
        <x:v>Female</x:v>
      </x:c>
      <x:c r="K52" s="12" t="n">
        <x:v>1</x:v>
      </x:c>
      <x:c r="L52" s="12" t="n">
        <x:v>1</x:v>
      </x:c>
      <x:c r="M52" s="12" t="n">
        <x:v>2</x:v>
      </x:c>
      <x:c r="N52" s="12" t="str">
        <x:v>Movement and resistance against control system.</x:v>
      </x:c>
      <x:c r="O52" s="12" t="str">
        <x:v>Seed</x:v>
      </x:c>
    </x:row>
    <x:row r="53">
      <x:c r="A53" s="12" t="str">
        <x:v>2000s</x:v>
      </x:c>
      <x:c r="B53" s="12" t="n">
        <x:v>2008</x:v>
      </x:c>
      <x:c r="C53" s="12" t="str">
        <x:v>Dead Space</x:v>
      </x:c>
      <x:c r="D53" s="12" t="str">
        <x:v>Isaac Clarke</x:v>
      </x:c>
      <x:c r="E53" s="12" t="str">
        <x:v>Everyman</x:v>
      </x:c>
      <x:c r="F53" s="12" t="str">
        <x:v>Caregiver</x:v>
      </x:c>
      <x:c r="G53" s="12" t="str">
        <x:v>Survival horror</x:v>
      </x:c>
      <x:c r="H53" s="12" t="str">
        <x:v>USA</x:v>
      </x:c>
      <x:c r="I53" s="12" t="str">
        <x:v>Defined protagonist</x:v>
      </x:c>
      <x:c r="J53" s="12" t="str">
        <x:v>Male</x:v>
      </x:c>
      <x:c r="K53" s="12" t="n">
        <x:v>2</x:v>
      </x:c>
      <x:c r="L53" s="12" t="n">
        <x:v>1</x:v>
      </x:c>
      <x:c r="M53" s="12" t="n">
        <x:v>2</x:v>
      </x:c>
      <x:c r="N53" s="12" t="str">
        <x:v>Engineer looking for partner, survival horror.</x:v>
      </x:c>
      <x:c r="O53" s="12" t="str">
        <x:v>Seed</x:v>
      </x:c>
    </x:row>
    <x:row r="54">
      <x:c r="A54" s="12" t="str">
        <x:v>2000s</x:v>
      </x:c>
      <x:c r="B54" s="12" t="n">
        <x:v>2009</x:v>
      </x:c>
      <x:c r="C54" s="12" t="str">
        <x:v>Batman: Arkham Asylum</x:v>
      </x:c>
      <x:c r="D54" s="12" t="str">
        <x:v>Batman</x:v>
      </x:c>
      <x:c r="E54" s="12" t="str">
        <x:v>Hero</x:v>
      </x:c>
      <x:c r="F54" s="12" t="str">
        <x:v>Ruler</x:v>
      </x:c>
      <x:c r="G54" s="12" t="str">
        <x:v>Action-adventure</x:v>
      </x:c>
      <x:c r="H54" s="12" t="str">
        <x:v>UK</x:v>
      </x:c>
      <x:c r="I54" s="12" t="str">
        <x:v>Defined protagonist</x:v>
      </x:c>
      <x:c r="J54" s="12" t="str">
        <x:v>Male</x:v>
      </x:c>
      <x:c r="K54" s="12" t="n">
        <x:v>3</x:v>
      </x:c>
      <x:c r="L54" s="12" t="n">
        <x:v>1</x:v>
      </x:c>
      <x:c r="M54" s="12" t="n">
        <x:v>3</x:v>
      </x:c>
      <x:c r="N54" s="12" t="str">
        <x:v>Control, order, discipline, fight with chaos.</x:v>
      </x:c>
      <x:c r="O54" s="12" t="str">
        <x:v>Seed</x:v>
      </x:c>
    </x:row>
    <x:row r="55">
      <x:c r="A55" s="12" t="str">
        <x:v>2000s</x:v>
      </x:c>
      <x:c r="B55" s="12" t="n">
        <x:v>2009</x:v>
      </x:c>
      <x:c r="C55" s="12" t="str">
        <x:v>Dragon Age: Origins</x:v>
      </x:c>
      <x:c r="D55" s="12" t="str">
        <x:v>Grey Warden</x:v>
      </x:c>
      <x:c r="E55" s="12" t="str">
        <x:v>Hero</x:v>
      </x:c>
      <x:c r="F55" s="12" t="str">
        <x:v>Ruler</x:v>
      </x:c>
      <x:c r="G55" s="12" t="str">
        <x:v>RPG</x:v>
      </x:c>
      <x:c r="H55" s="12" t="str">
        <x:v>Canada</x:v>
      </x:c>
      <x:c r="I55" s="12" t="str">
        <x:v>Customizable avatar</x:v>
      </x:c>
      <x:c r="J55" s="12" t="str">
        <x:v>Player-defined</x:v>
      </x:c>
      <x:c r="K55" s="12" t="n">
        <x:v>2</x:v>
      </x:c>
      <x:c r="L55" s="12" t="n">
        <x:v>3</x:v>
      </x:c>
      <x:c r="M55" s="12" t="n">
        <x:v>3</x:v>
      </x:c>
      <x:c r="N55" s="12" t="str">
        <x:v>Player leader and unifier against threat.</x:v>
      </x:c>
      <x:c r="O55" s="12" t="str">
        <x:v>Seed</x:v>
      </x:c>
    </x:row>
    <x:row r="56">
      <x:c r="A56" s="12" t="str">
        <x:v>2010s</x:v>
      </x:c>
      <x:c r="B56" s="12" t="n">
        <x:v>2010</x:v>
      </x:c>
      <x:c r="C56" s="12" t="str">
        <x:v>Red Dead Redemption</x:v>
      </x:c>
      <x:c r="D56" s="12" t="str">
        <x:v>John Marston</x:v>
      </x:c>
      <x:c r="E56" s="12" t="str">
        <x:v>Rebel</x:v>
      </x:c>
      <x:c r="F56" s="12" t="str">
        <x:v>Caregiver</x:v>
      </x:c>
      <x:c r="G56" s="12" t="str">
        <x:v>Open world action-adventure</x:v>
      </x:c>
      <x:c r="H56" s="12" t="str">
        <x:v>USA</x:v>
      </x:c>
      <x:c r="I56" s="12" t="str">
        <x:v>Defined protagonist</x:v>
      </x:c>
      <x:c r="J56" s="12" t="str">
        <x:v>Male</x:v>
      </x:c>
      <x:c r="K56" s="12" t="n">
        <x:v>3</x:v>
      </x:c>
      <x:c r="L56" s="12" t="n">
        <x:v>1</x:v>
      </x:c>
      <x:c r="M56" s="12" t="n">
        <x:v>3</x:v>
      </x:c>
      <x:c r="N56" s="12" t="str">
        <x:v>Former outlaw trying to save family.</x:v>
      </x:c>
      <x:c r="O56" s="12" t="str">
        <x:v>Seed</x:v>
      </x:c>
    </x:row>
    <x:row r="57">
      <x:c r="A57" s="12" t="str">
        <x:v>2010s</x:v>
      </x:c>
      <x:c r="B57" s="12" t="n">
        <x:v>2010</x:v>
      </x:c>
      <x:c r="C57" s="12" t="str">
        <x:v>Alan Wake</x:v>
      </x:c>
      <x:c r="D57" s="12" t="str">
        <x:v>Alan Wake</x:v>
      </x:c>
      <x:c r="E57" s="12" t="str">
        <x:v>Creator</x:v>
      </x:c>
      <x:c r="F57" s="12" t="str">
        <x:v>Sage</x:v>
      </x:c>
      <x:c r="G57" s="12" t="str">
        <x:v>Action-adventure / horror</x:v>
      </x:c>
      <x:c r="H57" s="12" t="str">
        <x:v>Finland</x:v>
      </x:c>
      <x:c r="I57" s="12" t="str">
        <x:v>Defined protagonist</x:v>
      </x:c>
      <x:c r="J57" s="12" t="str">
        <x:v>Male</x:v>
      </x:c>
      <x:c r="K57" s="12" t="n">
        <x:v>3</x:v>
      </x:c>
      <x:c r="L57" s="12" t="n">
        <x:v>1</x:v>
      </x:c>
      <x:c r="M57" s="12" t="n">
        <x:v>3</x:v>
      </x:c>
      <x:c r="N57" s="12" t="str">
        <x:v>Writer confronted by his own fiction.</x:v>
      </x:c>
      <x:c r="O57" s="12" t="str">
        <x:v>Seed</x:v>
      </x:c>
    </x:row>
    <x:row r="58">
      <x:c r="A58" s="12" t="str">
        <x:v>2010s</x:v>
      </x:c>
      <x:c r="B58" s="12" t="n">
        <x:v>2010</x:v>
      </x:c>
      <x:c r="C58" s="12" t="str">
        <x:v>Heavy Rain</x:v>
      </x:c>
      <x:c r="D58" s="12" t="str">
        <x:v>Ethan Mars</x:v>
      </x:c>
      <x:c r="E58" s="12" t="str">
        <x:v>Caregiver</x:v>
      </x:c>
      <x:c r="F58" s="12" t="str">
        <x:v>Everyman</x:v>
      </x:c>
      <x:c r="G58" s="12" t="str">
        <x:v>Interactive drama</x:v>
      </x:c>
      <x:c r="H58" s="12" t="str">
        <x:v>France</x:v>
      </x:c>
      <x:c r="I58" s="12" t="str">
        <x:v>Defined protagonist</x:v>
      </x:c>
      <x:c r="J58" s="12" t="str">
        <x:v>Male</x:v>
      </x:c>
      <x:c r="K58" s="12" t="n">
        <x:v>3</x:v>
      </x:c>
      <x:c r="L58" s="12" t="n">
        <x:v>1</x:v>
      </x:c>
      <x:c r="M58" s="12" t="n">
        <x:v>3</x:v>
      </x:c>
      <x:c r="N58" s="12" t="str">
        <x:v>Father tested for his child.</x:v>
      </x:c>
      <x:c r="O58" s="12" t="str">
        <x:v>Seed</x:v>
      </x:c>
    </x:row>
    <x:row r="59">
      <x:c r="A59" s="12" t="str">
        <x:v>2010s</x:v>
      </x:c>
      <x:c r="B59" s="12" t="n">
        <x:v>2010</x:v>
      </x:c>
      <x:c r="C59" s="12" t="str">
        <x:v>Fallout: New Vegas</x:v>
      </x:c>
      <x:c r="D59" s="12" t="str">
        <x:v>Courier</x:v>
      </x:c>
      <x:c r="E59" s="12" t="str">
        <x:v>Explorer</x:v>
      </x:c>
      <x:c r="F59" s="12" t="str">
        <x:v>Rebel</x:v>
      </x:c>
      <x:c r="G59" s="12" t="str">
        <x:v>RPG</x:v>
      </x:c>
      <x:c r="H59" s="12" t="str">
        <x:v>USA</x:v>
      </x:c>
      <x:c r="I59" s="12" t="str">
        <x:v>Customizable avatar</x:v>
      </x:c>
      <x:c r="J59" s="12" t="str">
        <x:v>Player-defined</x:v>
      </x:c>
      <x:c r="K59" s="12" t="n">
        <x:v>1</x:v>
      </x:c>
      <x:c r="L59" s="12" t="n">
        <x:v>3</x:v>
      </x:c>
      <x:c r="M59" s="12" t="n">
        <x:v>3</x:v>
      </x:c>
      <x:c r="N59" s="12" t="str">
        <x:v>Wandering, faction choice, power over region.</x:v>
      </x:c>
      <x:c r="O59" s="12" t="str">
        <x:v>Seed</x:v>
      </x:c>
    </x:row>
    <x:row r="60">
      <x:c r="A60" s="12" t="str">
        <x:v>2010s</x:v>
      </x:c>
      <x:c r="B60" s="12" t="n">
        <x:v>2011</x:v>
      </x:c>
      <x:c r="C60" s="12" t="str">
        <x:v>Portal 2</x:v>
      </x:c>
      <x:c r="D60" s="12" t="str">
        <x:v>Chell</x:v>
      </x:c>
      <x:c r="E60" s="12" t="str">
        <x:v>Rebel</x:v>
      </x:c>
      <x:c r="F60" s="12" t="str">
        <x:v>Explorer</x:v>
      </x:c>
      <x:c r="G60" s="12" t="str">
        <x:v>Puzzle platformer</x:v>
      </x:c>
      <x:c r="H60" s="12" t="str">
        <x:v>USA</x:v>
      </x:c>
      <x:c r="I60" s="12" t="str">
        <x:v>Silent defined protagonist</x:v>
      </x:c>
      <x:c r="J60" s="12" t="str">
        <x:v>Female</x:v>
      </x:c>
      <x:c r="K60" s="12" t="n">
        <x:v>1</x:v>
      </x:c>
      <x:c r="L60" s="12" t="n">
        <x:v>3</x:v>
      </x:c>
      <x:c r="M60" s="12" t="n">
        <x:v>2</x:v>
      </x:c>
      <x:c r="N60" s="12" t="str">
        <x:v>Silent resistance through spatial intelligence.</x:v>
      </x:c>
      <x:c r="O60" s="12" t="str">
        <x:v>Seed</x:v>
      </x:c>
    </x:row>
    <x:row r="61">
      <x:c r="A61" s="12" t="str">
        <x:v>2010s</x:v>
      </x:c>
      <x:c r="B61" s="12" t="n">
        <x:v>2011</x:v>
      </x:c>
      <x:c r="C61" s="12" t="str">
        <x:v>The Elder Scrolls V: Skyrim</x:v>
      </x:c>
      <x:c r="D61" s="12" t="str">
        <x:v>Dragonborn</x:v>
      </x:c>
      <x:c r="E61" s="12" t="str">
        <x:v>Hero</x:v>
      </x:c>
      <x:c r="F61" s="12" t="str">
        <x:v>Magician</x:v>
      </x:c>
      <x:c r="G61" s="12" t="str">
        <x:v>Open-world RPG</x:v>
      </x:c>
      <x:c r="H61" s="12" t="str">
        <x:v>USA</x:v>
      </x:c>
      <x:c r="I61" s="12" t="str">
        <x:v>Customizable avatar</x:v>
      </x:c>
      <x:c r="J61" s="12" t="str">
        <x:v>Player-defined</x:v>
      </x:c>
      <x:c r="K61" s="12" t="n">
        <x:v>1</x:v>
      </x:c>
      <x:c r="L61" s="12" t="n">
        <x:v>3</x:v>
      </x:c>
      <x:c r="M61" s="12" t="n">
        <x:v>2</x:v>
      </x:c>
      <x:c r="N61" s="12" t="str">
        <x:v>Projection of power, choice and transformation.</x:v>
      </x:c>
      <x:c r="O61" s="12" t="str">
        <x:v>Seed</x:v>
      </x:c>
    </x:row>
    <x:row r="62">
      <x:c r="A62" s="12" t="str">
        <x:v>2010s</x:v>
      </x:c>
      <x:c r="B62" s="12" t="n">
        <x:v>2012</x:v>
      </x:c>
      <x:c r="C62" s="12" t="str">
        <x:v>The Walking Dead</x:v>
      </x:c>
      <x:c r="D62" s="12" t="str">
        <x:v>Lee Everett</x:v>
      </x:c>
      <x:c r="E62" s="12" t="str">
        <x:v>Caregiver</x:v>
      </x:c>
      <x:c r="F62" s="12" t="str">
        <x:v>Everyman</x:v>
      </x:c>
      <x:c r="G62" s="12" t="str">
        <x:v>Narrative adventure</x:v>
      </x:c>
      <x:c r="H62" s="12" t="str">
        <x:v>USA</x:v>
      </x:c>
      <x:c r="I62" s="12" t="str">
        <x:v>Defined protagonist</x:v>
      </x:c>
      <x:c r="J62" s="12" t="str">
        <x:v>Male</x:v>
      </x:c>
      <x:c r="K62" s="12" t="n">
        <x:v>3</x:v>
      </x:c>
      <x:c r="L62" s="12" t="n">
        <x:v>1</x:v>
      </x:c>
      <x:c r="M62" s="12" t="n">
        <x:v>3</x:v>
      </x:c>
      <x:c r="N62" s="12" t="str">
        <x:v>Protecting a child as story core.</x:v>
      </x:c>
      <x:c r="O62" s="12" t="str">
        <x:v>Seed</x:v>
      </x:c>
    </x:row>
    <x:row r="63">
      <x:c r="A63" s="12" t="str">
        <x:v>2010s</x:v>
      </x:c>
      <x:c r="B63" s="12" t="n">
        <x:v>2012</x:v>
      </x:c>
      <x:c r="C63" s="12" t="str">
        <x:v>Journey</x:v>
      </x:c>
      <x:c r="D63" s="12" t="str">
        <x:v>Traveler</x:v>
      </x:c>
      <x:c r="E63" s="12" t="str">
        <x:v>Explorer</x:v>
      </x:c>
      <x:c r="F63" s="12" t="str">
        <x:v>Innocent</x:v>
      </x:c>
      <x:c r="G63" s="12" t="str">
        <x:v>Adventure / art game</x:v>
      </x:c>
      <x:c r="H63" s="12" t="str">
        <x:v>USA</x:v>
      </x:c>
      <x:c r="I63" s="12" t="str">
        <x:v>Abstract avatar</x:v>
      </x:c>
      <x:c r="J63" s="12" t="str">
        <x:v>Other / robed figure</x:v>
      </x:c>
      <x:c r="K63" s="12" t="n">
        <x:v>0</x:v>
      </x:c>
      <x:c r="L63" s="12" t="n">
        <x:v>3</x:v>
      </x:c>
      <x:c r="M63" s="12" t="n">
        <x:v>2</x:v>
      </x:c>
      <x:c r="N63" s="12" t="str">
        <x:v>Journey, transcendence, minimal psychology.</x:v>
      </x:c>
      <x:c r="O63" s="12" t="str">
        <x:v>Seed</x:v>
      </x:c>
    </x:row>
    <x:row r="64">
      <x:c r="A64" s="12" t="str">
        <x:v>2010s</x:v>
      </x:c>
      <x:c r="B64" s="12" t="n">
        <x:v>2012</x:v>
      </x:c>
      <x:c r="C64" s="12" t="str">
        <x:v>Dishonored</x:v>
      </x:c>
      <x:c r="D64" s="12" t="str">
        <x:v>Corvo Attano</x:v>
      </x:c>
      <x:c r="E64" s="12" t="str">
        <x:v>Rebel</x:v>
      </x:c>
      <x:c r="F64" s="12" t="str">
        <x:v>Magician</x:v>
      </x:c>
      <x:c r="G64" s="12" t="str">
        <x:v>Stealth action</x:v>
      </x:c>
      <x:c r="H64" s="12" t="str">
        <x:v>France / USA</x:v>
      </x:c>
      <x:c r="I64" s="12" t="str">
        <x:v>Defined protagonist</x:v>
      </x:c>
      <x:c r="J64" s="12" t="str">
        <x:v>Male</x:v>
      </x:c>
      <x:c r="K64" s="12" t="n">
        <x:v>2</x:v>
      </x:c>
      <x:c r="L64" s="12" t="n">
        <x:v>2</x:v>
      </x:c>
      <x:c r="M64" s="12" t="n">
        <x:v>2</x:v>
      </x:c>
      <x:c r="N64" s="12" t="str">
        <x:v>Revenge, stealth, transformation of space and power.</x:v>
      </x:c>
      <x:c r="O64" s="12" t="str">
        <x:v>Seed</x:v>
      </x:c>
    </x:row>
    <x:row r="65">
      <x:c r="A65" s="12" t="str">
        <x:v>2010s</x:v>
      </x:c>
      <x:c r="B65" s="12" t="n">
        <x:v>2013</x:v>
      </x:c>
      <x:c r="C65" s="12" t="str">
        <x:v>Tomb Raider</x:v>
      </x:c>
      <x:c r="D65" s="12" t="str">
        <x:v>Lara Croft</x:v>
      </x:c>
      <x:c r="E65" s="12" t="str">
        <x:v>Explorer</x:v>
      </x:c>
      <x:c r="F65" s="12" t="str">
        <x:v>Hero</x:v>
      </x:c>
      <x:c r="G65" s="12" t="str">
        <x:v>Action-adventure</x:v>
      </x:c>
      <x:c r="H65" s="12" t="str">
        <x:v>USA / UK</x:v>
      </x:c>
      <x:c r="I65" s="12" t="str">
        <x:v>Defined protagonist</x:v>
      </x:c>
      <x:c r="J65" s="12" t="str">
        <x:v>Female</x:v>
      </x:c>
      <x:c r="K65" s="12" t="n">
        <x:v>2</x:v>
      </x:c>
      <x:c r="L65" s="12" t="n">
        <x:v>1</x:v>
      </x:c>
      <x:c r="M65" s="12" t="n">
        <x:v>3</x:v>
      </x:c>
      <x:c r="N65" s="12" t="str">
        <x:v>Reboot as survival and birth of a heroine.</x:v>
      </x:c>
      <x:c r="O65" s="12" t="str">
        <x:v>Seed</x:v>
      </x:c>
    </x:row>
    <x:row r="66">
      <x:c r="A66" s="12" t="str">
        <x:v>2010s</x:v>
      </x:c>
      <x:c r="B66" s="12" t="n">
        <x:v>2013</x:v>
      </x:c>
      <x:c r="C66" s="12" t="str">
        <x:v>The Last of Us</x:v>
      </x:c>
      <x:c r="D66" s="12" t="str">
        <x:v>Joel</x:v>
      </x:c>
      <x:c r="E66" s="12" t="str">
        <x:v>Caregiver</x:v>
      </x:c>
      <x:c r="F66" s="12" t="str">
        <x:v>Rebel</x:v>
      </x:c>
      <x:c r="G66" s="12" t="str">
        <x:v>Action-adventure / survival</x:v>
      </x:c>
      <x:c r="H66" s="12" t="str">
        <x:v>USA</x:v>
      </x:c>
      <x:c r="I66" s="12" t="str">
        <x:v>Defined protagonist</x:v>
      </x:c>
      <x:c r="J66" s="12" t="str">
        <x:v>Male</x:v>
      </x:c>
      <x:c r="K66" s="12" t="n">
        <x:v>3</x:v>
      </x:c>
      <x:c r="L66" s="12" t="n">
        <x:v>1</x:v>
      </x:c>
      <x:c r="M66" s="12" t="n">
        <x:v>3</x:v>
      </x:c>
      <x:c r="N66" s="12" t="str">
        <x:v>Care, trauma, morally problematic protection.</x:v>
      </x:c>
      <x:c r="O66" s="12" t="str">
        <x:v>Seed</x:v>
      </x:c>
    </x:row>
    <x:row r="67">
      <x:c r="A67" s="12" t="str">
        <x:v>2010s</x:v>
      </x:c>
      <x:c r="B67" s="12" t="n">
        <x:v>2013</x:v>
      </x:c>
      <x:c r="C67" s="12" t="str">
        <x:v>BioShock Infinite</x:v>
      </x:c>
      <x:c r="D67" s="12" t="str">
        <x:v>Booker DeWitt</x:v>
      </x:c>
      <x:c r="E67" s="12" t="str">
        <x:v>Everyman</x:v>
      </x:c>
      <x:c r="F67" s="12" t="str">
        <x:v>Caregiver</x:v>
      </x:c>
      <x:c r="G67" s="12" t="str">
        <x:v>FPS / narrative</x:v>
      </x:c>
      <x:c r="H67" s="12" t="str">
        <x:v>USA</x:v>
      </x:c>
      <x:c r="I67" s="12" t="str">
        <x:v>Defined protagonist</x:v>
      </x:c>
      <x:c r="J67" s="12" t="str">
        <x:v>Male</x:v>
      </x:c>
      <x:c r="K67" s="12" t="n">
        <x:v>3</x:v>
      </x:c>
      <x:c r="L67" s="12" t="n">
        <x:v>1</x:v>
      </x:c>
      <x:c r="M67" s="12" t="n">
        <x:v>3</x:v>
      </x:c>
      <x:c r="N67" s="12" t="str">
        <x:v>Debt, guilt, protection of Elizabeth.</x:v>
      </x:c>
      <x:c r="O67" s="12" t="str">
        <x:v>Seed</x:v>
      </x:c>
    </x:row>
    <x:row r="68">
      <x:c r="A68" s="12" t="str">
        <x:v>2010s</x:v>
      </x:c>
      <x:c r="B68" s="12" t="n">
        <x:v>2013</x:v>
      </x:c>
      <x:c r="C68" s="12" t="str">
        <x:v>Gone Home</x:v>
      </x:c>
      <x:c r="D68" s="12" t="str">
        <x:v>Kaitlin Greenbriar</x:v>
      </x:c>
      <x:c r="E68" s="12" t="str">
        <x:v>Sage</x:v>
      </x:c>
      <x:c r="F68" s="12" t="str">
        <x:v>Explorer</x:v>
      </x:c>
      <x:c r="G68" s="12" t="str">
        <x:v>Exploration / narrative</x:v>
      </x:c>
      <x:c r="H68" s="12" t="str">
        <x:v>USA</x:v>
      </x:c>
      <x:c r="I68" s="12" t="str">
        <x:v>Defined protagonist</x:v>
      </x:c>
      <x:c r="J68" s="12" t="str">
        <x:v>Female</x:v>
      </x:c>
      <x:c r="K68" s="12" t="n">
        <x:v>0</x:v>
      </x:c>
      <x:c r="L68" s="12" t="n">
        <x:v>2</x:v>
      </x:c>
      <x:c r="M68" s="12" t="n">
        <x:v>2</x:v>
      </x:c>
      <x:c r="N68" s="12" t="str">
        <x:v>Seeking truth in intimate domestic space.</x:v>
      </x:c>
      <x:c r="O68" s="12" t="str">
        <x:v>Seed</x:v>
      </x:c>
    </x:row>
    <x:row r="69">
      <x:c r="A69" s="12" t="str">
        <x:v>2010s</x:v>
      </x:c>
      <x:c r="B69" s="12" t="n">
        <x:v>2014</x:v>
      </x:c>
      <x:c r="C69" s="12" t="str">
        <x:v>Dragon Age: Inquisition</x:v>
      </x:c>
      <x:c r="D69" s="12" t="str">
        <x:v>Inquisitor</x:v>
      </x:c>
      <x:c r="E69" s="12" t="str">
        <x:v>Ruler</x:v>
      </x:c>
      <x:c r="F69" s="12" t="str">
        <x:v>Hero</x:v>
      </x:c>
      <x:c r="G69" s="12" t="str">
        <x:v>RPG</x:v>
      </x:c>
      <x:c r="H69" s="12" t="str">
        <x:v>Canada</x:v>
      </x:c>
      <x:c r="I69" s="12" t="str">
        <x:v>Customizable avatar</x:v>
      </x:c>
      <x:c r="J69" s="12" t="str">
        <x:v>Player-defined</x:v>
      </x:c>
      <x:c r="K69" s="12" t="n">
        <x:v>2</x:v>
      </x:c>
      <x:c r="L69" s="12" t="n">
        <x:v>3</x:v>
      </x:c>
      <x:c r="M69" s="12" t="n">
        <x:v>3</x:v>
      </x:c>
      <x:c r="N69" s="12" t="str">
        <x:v>Leader of institution, political and mythic role.</x:v>
      </x:c>
      <x:c r="O69" s="12" t="str">
        <x:v>Seed</x:v>
      </x:c>
    </x:row>
    <x:row r="70">
      <x:c r="A70" s="12" t="str">
        <x:v>2010s</x:v>
      </x:c>
      <x:c r="B70" s="12" t="n">
        <x:v>2015</x:v>
      </x:c>
      <x:c r="C70" s="12" t="str">
        <x:v>The Witcher 3: Wild Hunt</x:v>
      </x:c>
      <x:c r="D70" s="12" t="str">
        <x:v>Geralt of Rivia</x:v>
      </x:c>
      <x:c r="E70" s="12" t="str">
        <x:v>Hero</x:v>
      </x:c>
      <x:c r="F70" s="12" t="str">
        <x:v>Caregiver</x:v>
      </x:c>
      <x:c r="G70" s="12" t="str">
        <x:v>Action RPG</x:v>
      </x:c>
      <x:c r="H70" s="12" t="str">
        <x:v>Poland</x:v>
      </x:c>
      <x:c r="I70" s="12" t="str">
        <x:v>Defined protagonist</x:v>
      </x:c>
      <x:c r="J70" s="12" t="str">
        <x:v>Male</x:v>
      </x:c>
      <x:c r="K70" s="12" t="n">
        <x:v>2</x:v>
      </x:c>
      <x:c r="L70" s="12" t="n">
        <x:v>1</x:v>
      </x:c>
      <x:c r="M70" s="12" t="n">
        <x:v>3</x:v>
      </x:c>
      <x:c r="N70" s="12" t="str">
        <x:v>Monster hunter as adoptive father and moral arbiter.</x:v>
      </x:c>
      <x:c r="O70" s="12" t="str">
        <x:v>Seed</x:v>
      </x:c>
    </x:row>
    <x:row r="71">
      <x:c r="A71" s="12" t="str">
        <x:v>2010s</x:v>
      </x:c>
      <x:c r="B71" s="12" t="n">
        <x:v>2015</x:v>
      </x:c>
      <x:c r="C71" s="12" t="str">
        <x:v>Life is Strange</x:v>
      </x:c>
      <x:c r="D71" s="12" t="str">
        <x:v>Max Caulfield</x:v>
      </x:c>
      <x:c r="E71" s="12" t="str">
        <x:v>Magician</x:v>
      </x:c>
      <x:c r="F71" s="12" t="str">
        <x:v>Caregiver</x:v>
      </x:c>
      <x:c r="G71" s="12" t="str">
        <x:v>Narrative adventure</x:v>
      </x:c>
      <x:c r="H71" s="12" t="str">
        <x:v>France</x:v>
      </x:c>
      <x:c r="I71" s="12" t="str">
        <x:v>Defined protagonist</x:v>
      </x:c>
      <x:c r="J71" s="12" t="str">
        <x:v>Female</x:v>
      </x:c>
      <x:c r="K71" s="12" t="n">
        <x:v>2</x:v>
      </x:c>
      <x:c r="L71" s="12" t="n">
        <x:v>1</x:v>
      </x:c>
      <x:c r="M71" s="12" t="n">
        <x:v>3</x:v>
      </x:c>
      <x:c r="N71" s="12" t="str">
        <x:v>Time power, friendship, responsibility.</x:v>
      </x:c>
      <x:c r="O71" s="12" t="str">
        <x:v>Seed</x:v>
      </x:c>
    </x:row>
    <x:row r="72">
      <x:c r="A72" s="12" t="str">
        <x:v>2010s</x:v>
      </x:c>
      <x:c r="B72" s="12" t="n">
        <x:v>2015</x:v>
      </x:c>
      <x:c r="C72" s="12" t="str">
        <x:v>Undertale</x:v>
      </x:c>
      <x:c r="D72" s="12" t="str">
        <x:v>Frisk</x:v>
      </x:c>
      <x:c r="E72" s="12" t="str">
        <x:v>Innocent</x:v>
      </x:c>
      <x:c r="F72" s="12" t="str">
        <x:v>Magician</x:v>
      </x:c>
      <x:c r="G72" s="12" t="str">
        <x:v>RPG</x:v>
      </x:c>
      <x:c r="H72" s="12" t="str">
        <x:v>USA</x:v>
      </x:c>
      <x:c r="I72" s="12" t="str">
        <x:v>Ambiguous avatar</x:v>
      </x:c>
      <x:c r="J72" s="12" t="str">
        <x:v>Player-defined / child</x:v>
      </x:c>
      <x:c r="K72" s="12" t="n">
        <x:v>1</x:v>
      </x:c>
      <x:c r="L72" s="12" t="n">
        <x:v>3</x:v>
      </x:c>
      <x:c r="M72" s="12" t="n">
        <x:v>2</x:v>
      </x:c>
      <x:c r="N72" s="12" t="str">
        <x:v>Player choice changes moral structure of world.</x:v>
      </x:c>
      <x:c r="O72" s="12" t="str">
        <x:v>Seed</x:v>
      </x:c>
    </x:row>
    <x:row r="73">
      <x:c r="A73" s="12" t="str">
        <x:v>2010s</x:v>
      </x:c>
      <x:c r="B73" s="12" t="n">
        <x:v>2016</x:v>
      </x:c>
      <x:c r="C73" s="12" t="str">
        <x:v>Firewatch</x:v>
      </x:c>
      <x:c r="D73" s="12" t="str">
        <x:v>Henry</x:v>
      </x:c>
      <x:c r="E73" s="12" t="str">
        <x:v>Everyman</x:v>
      </x:c>
      <x:c r="F73" s="12" t="str">
        <x:v>Sage</x:v>
      </x:c>
      <x:c r="G73" s="12" t="str">
        <x:v>Walking simulator / narrative</x:v>
      </x:c>
      <x:c r="H73" s="12" t="str">
        <x:v>USA</x:v>
      </x:c>
      <x:c r="I73" s="12" t="str">
        <x:v>Defined protagonist</x:v>
      </x:c>
      <x:c r="J73" s="12" t="str">
        <x:v>Male</x:v>
      </x:c>
      <x:c r="K73" s="12" t="n">
        <x:v>2</x:v>
      </x:c>
      <x:c r="L73" s="12" t="n">
        <x:v>1</x:v>
      </x:c>
      <x:c r="M73" s="12" t="n">
        <x:v>3</x:v>
      </x:c>
      <x:c r="N73" s="12" t="str">
        <x:v>Civilian introspective protagonist.</x:v>
      </x:c>
      <x:c r="O73" s="12" t="str">
        <x:v>Seed</x:v>
      </x:c>
    </x:row>
    <x:row r="74">
      <x:c r="A74" s="12" t="str">
        <x:v>2010s</x:v>
      </x:c>
      <x:c r="B74" s="12" t="n">
        <x:v>2016</x:v>
      </x:c>
      <x:c r="C74" s="12" t="str">
        <x:v>Doom</x:v>
      </x:c>
      <x:c r="D74" s="12" t="str">
        <x:v>Doom Slayer</x:v>
      </x:c>
      <x:c r="E74" s="12" t="str">
        <x:v>Hero</x:v>
      </x:c>
      <x:c r="F74" s="12" t="str">
        <x:v>Rebel</x:v>
      </x:c>
      <x:c r="G74" s="12" t="str">
        <x:v>FPS</x:v>
      </x:c>
      <x:c r="H74" s="12" t="str">
        <x:v>USA</x:v>
      </x:c>
      <x:c r="I74" s="12" t="str">
        <x:v>Defined but minimal protagonist</x:v>
      </x:c>
      <x:c r="J74" s="12" t="str">
        <x:v>Male</x:v>
      </x:c>
      <x:c r="K74" s="12" t="n">
        <x:v>1</x:v>
      </x:c>
      <x:c r="L74" s="12" t="n">
        <x:v>3</x:v>
      </x:c>
      <x:c r="M74" s="12" t="n">
        <x:v>0</x:v>
      </x:c>
      <x:c r="N74" s="12" t="str">
        <x:v>Highly stylized action resistance.</x:v>
      </x:c>
      <x:c r="O74" s="12" t="str">
        <x:v>Seed</x:v>
      </x:c>
    </x:row>
    <x:row r="75">
      <x:c r="A75" s="12" t="str">
        <x:v>2010s</x:v>
      </x:c>
      <x:c r="B75" s="12" t="n">
        <x:v>2017</x:v>
      </x:c>
      <x:c r="C75" s="12" t="str">
        <x:v>Hellblade: Senua’s Sacrifice</x:v>
      </x:c>
      <x:c r="D75" s="12" t="str">
        <x:v>Senua</x:v>
      </x:c>
      <x:c r="E75" s="12" t="str">
        <x:v>Explorer</x:v>
      </x:c>
      <x:c r="F75" s="12" t="str">
        <x:v>Sage</x:v>
      </x:c>
      <x:c r="G75" s="12" t="str">
        <x:v>Action-adventure / psychological</x:v>
      </x:c>
      <x:c r="H75" s="12" t="str">
        <x:v>UK</x:v>
      </x:c>
      <x:c r="I75" s="12" t="str">
        <x:v>Defined protagonist</x:v>
      </x:c>
      <x:c r="J75" s="12" t="str">
        <x:v>Female</x:v>
      </x:c>
      <x:c r="K75" s="12" t="n">
        <x:v>3</x:v>
      </x:c>
      <x:c r="L75" s="12" t="n">
        <x:v>1</x:v>
      </x:c>
      <x:c r="M75" s="12" t="n">
        <x:v>3</x:v>
      </x:c>
      <x:c r="N75" s="12" t="str">
        <x:v>Journey through trauma, guilt, inner voices.</x:v>
      </x:c>
      <x:c r="O75" s="12" t="str">
        <x:v>Seed</x:v>
      </x:c>
    </x:row>
    <x:row r="76">
      <x:c r="A76" s="12" t="str">
        <x:v>2010s</x:v>
      </x:c>
      <x:c r="B76" s="12" t="n">
        <x:v>2017</x:v>
      </x:c>
      <x:c r="C76" s="12" t="str">
        <x:v>Horizon Zero Dawn</x:v>
      </x:c>
      <x:c r="D76" s="12" t="str">
        <x:v>Aloy</x:v>
      </x:c>
      <x:c r="E76" s="12" t="str">
        <x:v>Explorer</x:v>
      </x:c>
      <x:c r="F76" s="12" t="str">
        <x:v>Sage</x:v>
      </x:c>
      <x:c r="G76" s="12" t="str">
        <x:v>Action RPG</x:v>
      </x:c>
      <x:c r="H76" s="12" t="str">
        <x:v>Netherlands</x:v>
      </x:c>
      <x:c r="I76" s="12" t="str">
        <x:v>Defined protagonist</x:v>
      </x:c>
      <x:c r="J76" s="12" t="str">
        <x:v>Female</x:v>
      </x:c>
      <x:c r="K76" s="12" t="n">
        <x:v>1</x:v>
      </x:c>
      <x:c r="L76" s="12" t="n">
        <x:v>1</x:v>
      </x:c>
      <x:c r="M76" s="12" t="n">
        <x:v>3</x:v>
      </x:c>
      <x:c r="N76" s="12" t="str">
        <x:v>Searching for origin of world and self.</x:v>
      </x:c>
      <x:c r="O76" s="12" t="str">
        <x:v>Seed</x:v>
      </x:c>
    </x:row>
    <x:row r="77">
      <x:c r="A77" s="12" t="str">
        <x:v>2010s</x:v>
      </x:c>
      <x:c r="B77" s="12" t="n">
        <x:v>2017</x:v>
      </x:c>
      <x:c r="C77" s="12" t="str">
        <x:v>NieR: Automata</x:v>
      </x:c>
      <x:c r="D77" s="12" t="str">
        <x:v>2B / 9S / A2</x:v>
      </x:c>
      <x:c r="E77" s="12" t="str">
        <x:v>Sage</x:v>
      </x:c>
      <x:c r="F77" s="12" t="str">
        <x:v>Magician</x:v>
      </x:c>
      <x:c r="G77" s="12" t="str">
        <x:v>Action RPG</x:v>
      </x:c>
      <x:c r="H77" s="12" t="str">
        <x:v>Japan</x:v>
      </x:c>
      <x:c r="I77" s="12" t="str">
        <x:v>Multiple defined protagonists</x:v>
      </x:c>
      <x:c r="J77" s="12" t="str">
        <x:v>Female/Male/Android</x:v>
      </x:c>
      <x:c r="K77" s="12" t="n">
        <x:v>3</x:v>
      </x:c>
      <x:c r="L77" s="12" t="n">
        <x:v>1</x:v>
      </x:c>
      <x:c r="M77" s="12" t="n">
        <x:v>3</x:v>
      </x:c>
      <x:c r="N77" s="12" t="str">
        <x:v>Identity, repetition, existential transformation.</x:v>
      </x:c>
      <x:c r="O77" s="12" t="str">
        <x:v>Seed</x:v>
      </x:c>
    </x:row>
    <x:row r="78">
      <x:c r="A78" s="12" t="str">
        <x:v>2010s</x:v>
      </x:c>
      <x:c r="B78" s="12" t="n">
        <x:v>2017</x:v>
      </x:c>
      <x:c r="C78" s="12" t="str">
        <x:v>The Legend of Zelda: Breath of the Wild</x:v>
      </x:c>
      <x:c r="D78" s="12" t="str">
        <x:v>Link</x:v>
      </x:c>
      <x:c r="E78" s="12" t="str">
        <x:v>Explorer</x:v>
      </x:c>
      <x:c r="F78" s="12" t="str">
        <x:v>Hero</x:v>
      </x:c>
      <x:c r="G78" s="12" t="str">
        <x:v>Open-world action-adventure</x:v>
      </x:c>
      <x:c r="H78" s="12" t="str">
        <x:v>Japan</x:v>
      </x:c>
      <x:c r="I78" s="12" t="str">
        <x:v>Silent defined protagonist</x:v>
      </x:c>
      <x:c r="J78" s="12" t="str">
        <x:v>Male</x:v>
      </x:c>
      <x:c r="K78" s="12" t="n">
        <x:v>1</x:v>
      </x:c>
      <x:c r="L78" s="12" t="n">
        <x:v>3</x:v>
      </x:c>
      <x:c r="M78" s="12" t="n">
        <x:v>2</x:v>
      </x:c>
      <x:c r="N78" s="12" t="str">
        <x:v>Shift toward open exploration.</x:v>
      </x:c>
      <x:c r="O78" s="12" t="str">
        <x:v>Seed</x:v>
      </x:c>
    </x:row>
    <x:row r="79">
      <x:c r="A79" s="12" t="str">
        <x:v>2010s</x:v>
      </x:c>
      <x:c r="B79" s="12" t="n">
        <x:v>2018</x:v>
      </x:c>
      <x:c r="C79" s="12" t="str">
        <x:v>God of War</x:v>
      </x:c>
      <x:c r="D79" s="12" t="str">
        <x:v>Kratos</x:v>
      </x:c>
      <x:c r="E79" s="12" t="str">
        <x:v>Caregiver</x:v>
      </x:c>
      <x:c r="F79" s="12" t="str">
        <x:v>Hero</x:v>
      </x:c>
      <x:c r="G79" s="12" t="str">
        <x:v>Action-adventure</x:v>
      </x:c>
      <x:c r="H79" s="12" t="str">
        <x:v>USA</x:v>
      </x:c>
      <x:c r="I79" s="12" t="str">
        <x:v>Defined protagonist</x:v>
      </x:c>
      <x:c r="J79" s="12" t="str">
        <x:v>Male</x:v>
      </x:c>
      <x:c r="K79" s="12" t="n">
        <x:v>3</x:v>
      </x:c>
      <x:c r="L79" s="12" t="n">
        <x:v>1</x:v>
      </x:c>
      <x:c r="M79" s="12" t="n">
        <x:v>3</x:v>
      </x:c>
      <x:c r="N79" s="12" t="str">
        <x:v>Rewritten through fatherhood and self-control.</x:v>
      </x:c>
      <x:c r="O79" s="12" t="str">
        <x:v>Seed</x:v>
      </x:c>
    </x:row>
    <x:row r="80">
      <x:c r="A80" s="12" t="str">
        <x:v>2010s</x:v>
      </x:c>
      <x:c r="B80" s="12" t="n">
        <x:v>2018</x:v>
      </x:c>
      <x:c r="C80" s="12" t="str">
        <x:v>Red Dead Redemption 2</x:v>
      </x:c>
      <x:c r="D80" s="12" t="str">
        <x:v>Arthur Morgan</x:v>
      </x:c>
      <x:c r="E80" s="12" t="str">
        <x:v>Rebel</x:v>
      </x:c>
      <x:c r="F80" s="12" t="str">
        <x:v>Caregiver</x:v>
      </x:c>
      <x:c r="G80" s="12" t="str">
        <x:v>Open world action-adventure</x:v>
      </x:c>
      <x:c r="H80" s="12" t="str">
        <x:v>USA</x:v>
      </x:c>
      <x:c r="I80" s="12" t="str">
        <x:v>Defined protagonist</x:v>
      </x:c>
      <x:c r="J80" s="12" t="str">
        <x:v>Male</x:v>
      </x:c>
      <x:c r="K80" s="12" t="n">
        <x:v>3</x:v>
      </x:c>
      <x:c r="L80" s="12" t="n">
        <x:v>1</x:v>
      </x:c>
      <x:c r="M80" s="12" t="n">
        <x:v>3</x:v>
      </x:c>
      <x:c r="N80" s="12" t="str">
        <x:v>Outlaw seeking redemption and meaning.</x:v>
      </x:c>
      <x:c r="O80" s="12" t="str">
        <x:v>Seed</x:v>
      </x:c>
    </x:row>
    <x:row r="81">
      <x:c r="A81" s="12" t="str">
        <x:v>2010s</x:v>
      </x:c>
      <x:c r="B81" s="12" t="n">
        <x:v>2018</x:v>
      </x:c>
      <x:c r="C81" s="12" t="str">
        <x:v>Celeste</x:v>
      </x:c>
      <x:c r="D81" s="12" t="str">
        <x:v>Madeline</x:v>
      </x:c>
      <x:c r="E81" s="12" t="str">
        <x:v>Explorer</x:v>
      </x:c>
      <x:c r="F81" s="12" t="str">
        <x:v>Sage</x:v>
      </x:c>
      <x:c r="G81" s="12" t="str">
        <x:v>Platformer / narrative</x:v>
      </x:c>
      <x:c r="H81" s="12" t="str">
        <x:v>Canada</x:v>
      </x:c>
      <x:c r="I81" s="12" t="str">
        <x:v>Defined protagonist</x:v>
      </x:c>
      <x:c r="J81" s="12" t="str">
        <x:v>Female</x:v>
      </x:c>
      <x:c r="K81" s="12" t="n">
        <x:v>3</x:v>
      </x:c>
      <x:c r="L81" s="12" t="n">
        <x:v>1</x:v>
      </x:c>
      <x:c r="M81" s="12" t="n">
        <x:v>3</x:v>
      </x:c>
      <x:c r="N81" s="12" t="str">
        <x:v>Climb as self-knowledge and integration of anxiety.</x:v>
      </x:c>
      <x:c r="O81" s="12" t="str">
        <x:v>Seed</x:v>
      </x:c>
    </x:row>
    <x:row r="82">
      <x:c r="A82" s="12" t="str">
        <x:v>2010s</x:v>
      </x:c>
      <x:c r="B82" s="12" t="n">
        <x:v>2019</x:v>
      </x:c>
      <x:c r="C82" s="12" t="str">
        <x:v>Control</x:v>
      </x:c>
      <x:c r="D82" s="12" t="str">
        <x:v>Jesse Faden</x:v>
      </x:c>
      <x:c r="E82" s="12" t="str">
        <x:v>Sage</x:v>
      </x:c>
      <x:c r="F82" s="12" t="str">
        <x:v>Magician</x:v>
      </x:c>
      <x:c r="G82" s="12" t="str">
        <x:v>Action-adventure</x:v>
      </x:c>
      <x:c r="H82" s="12" t="str">
        <x:v>Finland</x:v>
      </x:c>
      <x:c r="I82" s="12" t="str">
        <x:v>Defined protagonist</x:v>
      </x:c>
      <x:c r="J82" s="12" t="str">
        <x:v>Female</x:v>
      </x:c>
      <x:c r="K82" s="12" t="n">
        <x:v>2</x:v>
      </x:c>
      <x:c r="L82" s="12" t="n">
        <x:v>1</x:v>
      </x:c>
      <x:c r="M82" s="12" t="n">
        <x:v>3</x:v>
      </x:c>
      <x:c r="N82" s="12" t="str">
        <x:v>Investigation, paranormal power, transformation of institution.</x:v>
      </x:c>
      <x:c r="O82" s="12" t="str">
        <x:v>Seed</x:v>
      </x:c>
    </x:row>
    <x:row r="83">
      <x:c r="A83" s="12" t="str">
        <x:v>2010s</x:v>
      </x:c>
      <x:c r="B83" s="12" t="n">
        <x:v>2019</x:v>
      </x:c>
      <x:c r="C83" s="12" t="str">
        <x:v>Disco Elysium</x:v>
      </x:c>
      <x:c r="D83" s="12" t="str">
        <x:v>Harry Du Bois</x:v>
      </x:c>
      <x:c r="E83" s="12" t="str">
        <x:v>Sage</x:v>
      </x:c>
      <x:c r="F83" s="12" t="str">
        <x:v>Everyman</x:v>
      </x:c>
      <x:c r="G83" s="12" t="str">
        <x:v>CRPG</x:v>
      </x:c>
      <x:c r="H83" s="12" t="str">
        <x:v>Estonia / UK</x:v>
      </x:c>
      <x:c r="I83" s="12" t="str">
        <x:v>Defined protagonist with choices</x:v>
      </x:c>
      <x:c r="J83" s="12" t="str">
        <x:v>Male</x:v>
      </x:c>
      <x:c r="K83" s="12" t="n">
        <x:v>3</x:v>
      </x:c>
      <x:c r="L83" s="12" t="n">
        <x:v>2</x:v>
      </x:c>
      <x:c r="M83" s="12" t="n">
        <x:v>3</x:v>
      </x:c>
      <x:c r="N83" s="12" t="str">
        <x:v>Collapse and reconstruction of identity through investigation.</x:v>
      </x:c>
      <x:c r="O83" s="12" t="str">
        <x:v>Seed</x:v>
      </x:c>
    </x:row>
    <x:row r="84">
      <x:c r="A84" s="12" t="str">
        <x:v>2010s</x:v>
      </x:c>
      <x:c r="B84" s="12" t="n">
        <x:v>2019</x:v>
      </x:c>
      <x:c r="C84" s="12" t="str">
        <x:v>Death Stranding</x:v>
      </x:c>
      <x:c r="D84" s="12" t="str">
        <x:v>Sam Porter Bridges</x:v>
      </x:c>
      <x:c r="E84" s="12" t="str">
        <x:v>Caregiver</x:v>
      </x:c>
      <x:c r="F84" s="12" t="str">
        <x:v>Explorer</x:v>
      </x:c>
      <x:c r="G84" s="12" t="str">
        <x:v>Action / traversal</x:v>
      </x:c>
      <x:c r="H84" s="12" t="str">
        <x:v>Japan</x:v>
      </x:c>
      <x:c r="I84" s="12" t="str">
        <x:v>Defined protagonist</x:v>
      </x:c>
      <x:c r="J84" s="12" t="str">
        <x:v>Male</x:v>
      </x:c>
      <x:c r="K84" s="12" t="n">
        <x:v>2</x:v>
      </x:c>
      <x:c r="L84" s="12" t="n">
        <x:v>1</x:v>
      </x:c>
      <x:c r="M84" s="12" t="n">
        <x:v>3</x:v>
      </x:c>
      <x:c r="N84" s="12" t="str">
        <x:v>Reconnecting the world through delivery and vulnerable care.</x:v>
      </x:c>
      <x:c r="O84" s="12" t="str">
        <x:v>Seed</x:v>
      </x:c>
    </x:row>
    <x:row r="85">
      <x:c r="A85" s="12" t="str">
        <x:v>2020s</x:v>
      </x:c>
      <x:c r="B85" s="12" t="n">
        <x:v>2020</x:v>
      </x:c>
      <x:c r="C85" s="12" t="str">
        <x:v>The Last of Us Part II</x:v>
      </x:c>
      <x:c r="D85" s="12" t="str">
        <x:v>Ellie</x:v>
      </x:c>
      <x:c r="E85" s="12" t="str">
        <x:v>Rebel</x:v>
      </x:c>
      <x:c r="F85" s="12" t="str">
        <x:v>Caregiver</x:v>
      </x:c>
      <x:c r="G85" s="12" t="str">
        <x:v>Action-adventure / survival</x:v>
      </x:c>
      <x:c r="H85" s="12" t="str">
        <x:v>USA</x:v>
      </x:c>
      <x:c r="I85" s="12" t="str">
        <x:v>Defined protagonist</x:v>
      </x:c>
      <x:c r="J85" s="12" t="str">
        <x:v>Female</x:v>
      </x:c>
      <x:c r="K85" s="12" t="n">
        <x:v>3</x:v>
      </x:c>
      <x:c r="L85" s="12" t="n">
        <x:v>1</x:v>
      </x:c>
      <x:c r="M85" s="12" t="n">
        <x:v>3</x:v>
      </x:c>
      <x:c r="N85" s="12" t="str">
        <x:v>Revenge, trauma, loss of relational identity.</x:v>
      </x:c>
      <x:c r="O85" s="12" t="str">
        <x:v>Seed</x:v>
      </x:c>
    </x:row>
    <x:row r="86">
      <x:c r="A86" s="12" t="str">
        <x:v>2020s</x:v>
      </x:c>
      <x:c r="B86" s="12" t="n">
        <x:v>2020</x:v>
      </x:c>
      <x:c r="C86" s="12" t="str">
        <x:v>The Last of Us Part II</x:v>
      </x:c>
      <x:c r="D86" s="12" t="str">
        <x:v>Abby</x:v>
      </x:c>
      <x:c r="E86" s="12" t="str">
        <x:v>Hero</x:v>
      </x:c>
      <x:c r="F86" s="12" t="str">
        <x:v>Caregiver</x:v>
      </x:c>
      <x:c r="G86" s="12" t="str">
        <x:v>Action-adventure / survival</x:v>
      </x:c>
      <x:c r="H86" s="12" t="str">
        <x:v>USA</x:v>
      </x:c>
      <x:c r="I86" s="12" t="str">
        <x:v>Defined protagonist</x:v>
      </x:c>
      <x:c r="J86" s="12" t="str">
        <x:v>Female</x:v>
      </x:c>
      <x:c r="K86" s="12" t="n">
        <x:v>3</x:v>
      </x:c>
      <x:c r="L86" s="12" t="n">
        <x:v>1</x:v>
      </x:c>
      <x:c r="M86" s="12" t="n">
        <x:v>3</x:v>
      </x:c>
      <x:c r="N86" s="12" t="str">
        <x:v>Enemy reframed into protective and redemptive role.</x:v>
      </x:c>
      <x:c r="O86" s="12" t="str">
        <x:v>Seed</x:v>
      </x:c>
    </x:row>
    <x:row r="87">
      <x:c r="A87" s="12" t="str">
        <x:v>2020s</x:v>
      </x:c>
      <x:c r="B87" s="12" t="n">
        <x:v>2020</x:v>
      </x:c>
      <x:c r="C87" s="12" t="str">
        <x:v>Hades</x:v>
      </x:c>
      <x:c r="D87" s="12" t="str">
        <x:v>Zagreus</x:v>
      </x:c>
      <x:c r="E87" s="12" t="str">
        <x:v>Rebel</x:v>
      </x:c>
      <x:c r="F87" s="12" t="str">
        <x:v>Lover</x:v>
      </x:c>
      <x:c r="G87" s="12" t="str">
        <x:v>Roguelike action</x:v>
      </x:c>
      <x:c r="H87" s="12" t="str">
        <x:v>USA</x:v>
      </x:c>
      <x:c r="I87" s="12" t="str">
        <x:v>Defined protagonist</x:v>
      </x:c>
      <x:c r="J87" s="12" t="str">
        <x:v>Male</x:v>
      </x:c>
      <x:c r="K87" s="12" t="n">
        <x:v>1</x:v>
      </x:c>
      <x:c r="L87" s="12" t="n">
        <x:v>1</x:v>
      </x:c>
      <x:c r="M87" s="12" t="n">
        <x:v>3</x:v>
      </x:c>
      <x:c r="N87" s="12" t="str">
        <x:v>Escape from underworld, relationships, defiance of father.</x:v>
      </x:c>
      <x:c r="O87" s="12" t="str">
        <x:v>Seed</x:v>
      </x:c>
    </x:row>
    <x:row r="88">
      <x:c r="A88" s="12" t="str">
        <x:v>2020s</x:v>
      </x:c>
      <x:c r="B88" s="12" t="n">
        <x:v>2020</x:v>
      </x:c>
      <x:c r="C88" s="12" t="str">
        <x:v>Cyberpunk 2077</x:v>
      </x:c>
      <x:c r="D88" s="12" t="str">
        <x:v>V</x:v>
      </x:c>
      <x:c r="E88" s="12" t="str">
        <x:v>Rebel</x:v>
      </x:c>
      <x:c r="F88" s="12" t="str">
        <x:v>Explorer</x:v>
      </x:c>
      <x:c r="G88" s="12" t="str">
        <x:v>Open world RPG</x:v>
      </x:c>
      <x:c r="H88" s="12" t="str">
        <x:v>Poland</x:v>
      </x:c>
      <x:c r="I88" s="12" t="str">
        <x:v>Customizable voiced protagonist</x:v>
      </x:c>
      <x:c r="J88" s="12" t="str">
        <x:v>Player-defined</x:v>
      </x:c>
      <x:c r="K88" s="12" t="n">
        <x:v>2</x:v>
      </x:c>
      <x:c r="L88" s="12" t="n">
        <x:v>2</x:v>
      </x:c>
      <x:c r="M88" s="12" t="n">
        <x:v>3</x:v>
      </x:c>
      <x:c r="N88" s="12" t="str">
        <x:v>Identity in corporate, bodily mutable world.</x:v>
      </x:c>
      <x:c r="O88" s="12" t="str">
        <x:v>Seed</x:v>
      </x:c>
    </x:row>
    <x:row r="89">
      <x:c r="A89" s="12" t="str">
        <x:v>2020s</x:v>
      </x:c>
      <x:c r="B89" s="12" t="n">
        <x:v>2020</x:v>
      </x:c>
      <x:c r="C89" s="12" t="str">
        <x:v>Final Fantasy VII Remake</x:v>
      </x:c>
      <x:c r="D89" s="12" t="str">
        <x:v>Cloud Strife</x:v>
      </x:c>
      <x:c r="E89" s="12" t="str">
        <x:v>Hero</x:v>
      </x:c>
      <x:c r="F89" s="12" t="str">
        <x:v>Rebel</x:v>
      </x:c>
      <x:c r="G89" s="12" t="str">
        <x:v>Action RPG</x:v>
      </x:c>
      <x:c r="H89" s="12" t="str">
        <x:v>Japan</x:v>
      </x:c>
      <x:c r="I89" s="12" t="str">
        <x:v>Defined protagonist</x:v>
      </x:c>
      <x:c r="J89" s="12" t="str">
        <x:v>Male</x:v>
      </x:c>
      <x:c r="K89" s="12" t="n">
        <x:v>3</x:v>
      </x:c>
      <x:c r="L89" s="12" t="n">
        <x:v>1</x:v>
      </x:c>
      <x:c r="M89" s="12" t="n">
        <x:v>3</x:v>
      </x:c>
      <x:c r="N89" s="12" t="str">
        <x:v>Reinterpretation of identity, trauma and hero role.</x:v>
      </x:c>
      <x:c r="O89" s="12" t="str">
        <x:v>Seed</x:v>
      </x:c>
    </x:row>
    <x:row r="90">
      <x:c r="A90" s="12" t="str">
        <x:v>2020s</x:v>
      </x:c>
      <x:c r="B90" s="12" t="n">
        <x:v>2020</x:v>
      </x:c>
      <x:c r="C90" s="12" t="str">
        <x:v>Ghost of Tsushima</x:v>
      </x:c>
      <x:c r="D90" s="12" t="str">
        <x:v>Jin Sakai</x:v>
      </x:c>
      <x:c r="E90" s="12" t="str">
        <x:v>Hero</x:v>
      </x:c>
      <x:c r="F90" s="12" t="str">
        <x:v>Rebel</x:v>
      </x:c>
      <x:c r="G90" s="12" t="str">
        <x:v>Action-adventure</x:v>
      </x:c>
      <x:c r="H90" s="12" t="str">
        <x:v>USA</x:v>
      </x:c>
      <x:c r="I90" s="12" t="str">
        <x:v>Defined protagonist</x:v>
      </x:c>
      <x:c r="J90" s="12" t="str">
        <x:v>Male</x:v>
      </x:c>
      <x:c r="K90" s="12" t="n">
        <x:v>2</x:v>
      </x:c>
      <x:c r="L90" s="12" t="n">
        <x:v>1</x:v>
      </x:c>
      <x:c r="M90" s="12" t="n">
        <x:v>3</x:v>
      </x:c>
      <x:c r="N90" s="12" t="str">
        <x:v>Conflict between honor, order and effectiveness.</x:v>
      </x:c>
      <x:c r="O90" s="12" t="str">
        <x:v>Seed</x:v>
      </x:c>
    </x:row>
    <x:row r="91">
      <x:c r="A91" s="12" t="str">
        <x:v>2020s</x:v>
      </x:c>
      <x:c r="B91" s="12" t="n">
        <x:v>2020</x:v>
      </x:c>
      <x:c r="C91" s="12" t="str">
        <x:v>Animal Crossing: New Horizons</x:v>
      </x:c>
      <x:c r="D91" s="12" t="str">
        <x:v>Player villager</x:v>
      </x:c>
      <x:c r="E91" s="12" t="str">
        <x:v>Creator</x:v>
      </x:c>
      <x:c r="F91" s="12" t="str">
        <x:v>Innocent</x:v>
      </x:c>
      <x:c r="G91" s="12" t="str">
        <x:v>Life sim</x:v>
      </x:c>
      <x:c r="H91" s="12" t="str">
        <x:v>Japan</x:v>
      </x:c>
      <x:c r="I91" s="12" t="str">
        <x:v>Customizable avatar</x:v>
      </x:c>
      <x:c r="J91" s="12" t="str">
        <x:v>Player-defined</x:v>
      </x:c>
      <x:c r="K91" s="12" t="n">
        <x:v>0</x:v>
      </x:c>
      <x:c r="L91" s="12" t="n">
        <x:v>3</x:v>
      </x:c>
      <x:c r="M91" s="12" t="n">
        <x:v>0</x:v>
      </x:c>
      <x:c r="N91" s="12" t="str">
        <x:v>Safe world of crafting, collecting and community routine.</x:v>
      </x:c>
      <x:c r="O91" s="12" t="str">
        <x:v>Seed</x:v>
      </x:c>
    </x:row>
    <x:row r="92">
      <x:c r="A92" s="12" t="str">
        <x:v>2020s</x:v>
      </x:c>
      <x:c r="B92" s="12" t="n">
        <x:v>2021</x:v>
      </x:c>
      <x:c r="C92" s="12" t="str">
        <x:v>Resident Evil Village</x:v>
      </x:c>
      <x:c r="D92" s="12" t="str">
        <x:v>Ethan Winters</x:v>
      </x:c>
      <x:c r="E92" s="12" t="str">
        <x:v>Caregiver</x:v>
      </x:c>
      <x:c r="F92" s="12" t="str">
        <x:v>Everyman</x:v>
      </x:c>
      <x:c r="G92" s="12" t="str">
        <x:v>Survival horror</x:v>
      </x:c>
      <x:c r="H92" s="12" t="str">
        <x:v>Japan</x:v>
      </x:c>
      <x:c r="I92" s="12" t="str">
        <x:v>Defined protagonist</x:v>
      </x:c>
      <x:c r="J92" s="12" t="str">
        <x:v>Male</x:v>
      </x:c>
      <x:c r="K92" s="12" t="n">
        <x:v>3</x:v>
      </x:c>
      <x:c r="L92" s="12" t="n">
        <x:v>1</x:v>
      </x:c>
      <x:c r="M92" s="12" t="n">
        <x:v>2</x:v>
      </x:c>
      <x:c r="N92" s="12" t="str">
        <x:v>Father as horror protector.</x:v>
      </x:c>
      <x:c r="O92" s="12" t="str">
        <x:v>Seed</x:v>
      </x:c>
    </x:row>
    <x:row r="93">
      <x:c r="A93" s="12" t="str">
        <x:v>2020s</x:v>
      </x:c>
      <x:c r="B93" s="12" t="n">
        <x:v>2021</x:v>
      </x:c>
      <x:c r="C93" s="12" t="str">
        <x:v>Psychonauts 2</x:v>
      </x:c>
      <x:c r="D93" s="12" t="str">
        <x:v>Razputin</x:v>
      </x:c>
      <x:c r="E93" s="12" t="str">
        <x:v>Magician</x:v>
      </x:c>
      <x:c r="F93" s="12" t="str">
        <x:v>Caregiver</x:v>
      </x:c>
      <x:c r="G93" s="12" t="str">
        <x:v>Platformer / adventure</x:v>
      </x:c>
      <x:c r="H93" s="12" t="str">
        <x:v>USA</x:v>
      </x:c>
      <x:c r="I93" s="12" t="str">
        <x:v>Defined protagonist</x:v>
      </x:c>
      <x:c r="J93" s="12" t="str">
        <x:v>Male</x:v>
      </x:c>
      <x:c r="K93" s="12" t="n">
        <x:v>1</x:v>
      </x:c>
      <x:c r="L93" s="12" t="n">
        <x:v>1</x:v>
      </x:c>
      <x:c r="M93" s="12" t="n">
        <x:v>3</x:v>
      </x:c>
      <x:c r="N93" s="12" t="str">
        <x:v>Entering minds with stronger ethical and healing dimension.</x:v>
      </x:c>
      <x:c r="O93" s="12" t="str">
        <x:v>Seed</x:v>
      </x:c>
    </x:row>
    <x:row r="94">
      <x:c r="A94" s="12" t="str">
        <x:v>2020s</x:v>
      </x:c>
      <x:c r="B94" s="12" t="n">
        <x:v>2021</x:v>
      </x:c>
      <x:c r="C94" s="12" t="str">
        <x:v>Metroid Dread</x:v>
      </x:c>
      <x:c r="D94" s="12" t="str">
        <x:v>Samus Aran</x:v>
      </x:c>
      <x:c r="E94" s="12" t="str">
        <x:v>Explorer</x:v>
      </x:c>
      <x:c r="F94" s="12" t="str">
        <x:v>Hero</x:v>
      </x:c>
      <x:c r="G94" s="12" t="str">
        <x:v>Action-adventure</x:v>
      </x:c>
      <x:c r="H94" s="12" t="str">
        <x:v>Japan</x:v>
      </x:c>
      <x:c r="I94" s="12" t="str">
        <x:v>Defined protagonist</x:v>
      </x:c>
      <x:c r="J94" s="12" t="str">
        <x:v>Female</x:v>
      </x:c>
      <x:c r="K94" s="12" t="n">
        <x:v>1</x:v>
      </x:c>
      <x:c r="L94" s="12" t="n">
        <x:v>1</x:v>
      </x:c>
      <x:c r="M94" s="12" t="n">
        <x:v>2</x:v>
      </x:c>
      <x:c r="N94" s="12" t="str">
        <x:v>Return of solitary explorer/warrior archetype.</x:v>
      </x:c>
      <x:c r="O94" s="12" t="str">
        <x:v>Seed</x:v>
      </x:c>
    </x:row>
    <x:row r="95">
      <x:c r="A95" s="12" t="str">
        <x:v>2020s</x:v>
      </x:c>
      <x:c r="B95" s="12" t="n">
        <x:v>2021</x:v>
      </x:c>
      <x:c r="C95" s="12" t="str">
        <x:v>Deathloop</x:v>
      </x:c>
      <x:c r="D95" s="12" t="str">
        <x:v>Colt Vahn</x:v>
      </x:c>
      <x:c r="E95" s="12" t="str">
        <x:v>Rebel</x:v>
      </x:c>
      <x:c r="F95" s="12" t="str">
        <x:v>Sage</x:v>
      </x:c>
      <x:c r="G95" s="12" t="str">
        <x:v>Immersive sim / shooter</x:v>
      </x:c>
      <x:c r="H95" s="12" t="str">
        <x:v>France</x:v>
      </x:c>
      <x:c r="I95" s="12" t="str">
        <x:v>Defined protagonist</x:v>
      </x:c>
      <x:c r="J95" s="12" t="str">
        <x:v>Male</x:v>
      </x:c>
      <x:c r="K95" s="12" t="n">
        <x:v>2</x:v>
      </x:c>
      <x:c r="L95" s="12" t="n">
        <x:v>1</x:v>
      </x:c>
      <x:c r="M95" s="12" t="n">
        <x:v>3</x:v>
      </x:c>
      <x:c r="N95" s="12" t="str">
        <x:v>Time loop, knowledge of system, escape from rules.</x:v>
      </x:c>
      <x:c r="O95" s="12" t="str">
        <x:v>Seed</x:v>
      </x:c>
    </x:row>
    <x:row r="96">
      <x:c r="A96" s="12" t="str">
        <x:v>2020s</x:v>
      </x:c>
      <x:c r="B96" s="12" t="n">
        <x:v>2022</x:v>
      </x:c>
      <x:c r="C96" s="12" t="str">
        <x:v>Elden Ring</x:v>
      </x:c>
      <x:c r="D96" s="12" t="str">
        <x:v>Tarnished</x:v>
      </x:c>
      <x:c r="E96" s="12" t="str">
        <x:v>Explorer</x:v>
      </x:c>
      <x:c r="F96" s="12" t="str">
        <x:v>Hero</x:v>
      </x:c>
      <x:c r="G96" s="12" t="str">
        <x:v>Action RPG</x:v>
      </x:c>
      <x:c r="H96" s="12" t="str">
        <x:v>Japan</x:v>
      </x:c>
      <x:c r="I96" s="12" t="str">
        <x:v>Customizable avatar</x:v>
      </x:c>
      <x:c r="J96" s="12" t="str">
        <x:v>Player-defined</x:v>
      </x:c>
      <x:c r="K96" s="12" t="n">
        <x:v>2</x:v>
      </x:c>
      <x:c r="L96" s="12" t="n">
        <x:v>3</x:v>
      </x:c>
      <x:c r="M96" s="12" t="n">
        <x:v>2</x:v>
      </x:c>
      <x:c r="N96" s="12" t="str">
        <x:v>Player role as pilgrim, choice and power.</x:v>
      </x:c>
      <x:c r="O96" s="12" t="str">
        <x:v>Seed</x:v>
      </x:c>
    </x:row>
    <x:row r="97">
      <x:c r="A97" s="12" t="str">
        <x:v>2020s</x:v>
      </x:c>
      <x:c r="B97" s="12" t="n">
        <x:v>2022</x:v>
      </x:c>
      <x:c r="C97" s="12" t="str">
        <x:v>Horizon Forbidden West</x:v>
      </x:c>
      <x:c r="D97" s="12" t="str">
        <x:v>Aloy</x:v>
      </x:c>
      <x:c r="E97" s="12" t="str">
        <x:v>Explorer</x:v>
      </x:c>
      <x:c r="F97" s="12" t="str">
        <x:v>Caregiver</x:v>
      </x:c>
      <x:c r="G97" s="12" t="str">
        <x:v>Action RPG</x:v>
      </x:c>
      <x:c r="H97" s="12" t="str">
        <x:v>Netherlands</x:v>
      </x:c>
      <x:c r="I97" s="12" t="str">
        <x:v>Defined protagonist</x:v>
      </x:c>
      <x:c r="J97" s="12" t="str">
        <x:v>Female</x:v>
      </x:c>
      <x:c r="K97" s="12" t="n">
        <x:v>1</x:v>
      </x:c>
      <x:c r="L97" s="12" t="n">
        <x:v>1</x:v>
      </x:c>
      <x:c r="M97" s="12" t="n">
        <x:v>3</x:v>
      </x:c>
      <x:c r="N97" s="12" t="str">
        <x:v>Seeking truth linked to saving world and community.</x:v>
      </x:c>
      <x:c r="O97" s="12" t="str">
        <x:v>Seed</x:v>
      </x:c>
    </x:row>
    <x:row r="98">
      <x:c r="A98" s="12" t="str">
        <x:v>2020s</x:v>
      </x:c>
      <x:c r="B98" s="12" t="n">
        <x:v>2022</x:v>
      </x:c>
      <x:c r="C98" s="12" t="str">
        <x:v>God of War Ragnarök</x:v>
      </x:c>
      <x:c r="D98" s="12" t="str">
        <x:v>Kratos</x:v>
      </x:c>
      <x:c r="E98" s="12" t="str">
        <x:v>Caregiver</x:v>
      </x:c>
      <x:c r="F98" s="12" t="str">
        <x:v>Ruler</x:v>
      </x:c>
      <x:c r="G98" s="12" t="str">
        <x:v>Action-adventure</x:v>
      </x:c>
      <x:c r="H98" s="12" t="str">
        <x:v>USA</x:v>
      </x:c>
      <x:c r="I98" s="12" t="str">
        <x:v>Defined protagonist</x:v>
      </x:c>
      <x:c r="J98" s="12" t="str">
        <x:v>Male</x:v>
      </x:c>
      <x:c r="K98" s="12" t="n">
        <x:v>3</x:v>
      </x:c>
      <x:c r="L98" s="12" t="n">
        <x:v>1</x:v>
      </x:c>
      <x:c r="M98" s="12" t="n">
        <x:v>3</x:v>
      </x:c>
      <x:c r="N98" s="12" t="str">
        <x:v>Father, leader, self-control and responsibility.</x:v>
      </x:c>
      <x:c r="O98" s="12" t="str">
        <x:v>Seed</x:v>
      </x:c>
    </x:row>
    <x:row r="99">
      <x:c r="A99" s="12" t="str">
        <x:v>2020s</x:v>
      </x:c>
      <x:c r="B99" s="12" t="n">
        <x:v>2022</x:v>
      </x:c>
      <x:c r="C99" s="12" t="str">
        <x:v>A Plague Tale: Requiem</x:v>
      </x:c>
      <x:c r="D99" s="12" t="str">
        <x:v>Amicia de Rune</x:v>
      </x:c>
      <x:c r="E99" s="12" t="str">
        <x:v>Caregiver</x:v>
      </x:c>
      <x:c r="F99" s="12" t="str">
        <x:v>Rebel</x:v>
      </x:c>
      <x:c r="G99" s="12" t="str">
        <x:v>Action-adventure / stealth</x:v>
      </x:c>
      <x:c r="H99" s="12" t="str">
        <x:v>France</x:v>
      </x:c>
      <x:c r="I99" s="12" t="str">
        <x:v>Defined protagonist</x:v>
      </x:c>
      <x:c r="J99" s="12" t="str">
        <x:v>Female</x:v>
      </x:c>
      <x:c r="K99" s="12" t="n">
        <x:v>3</x:v>
      </x:c>
      <x:c r="L99" s="12" t="n">
        <x:v>1</x:v>
      </x:c>
      <x:c r="M99" s="12" t="n">
        <x:v>3</x:v>
      </x:c>
      <x:c r="N99" s="12" t="str">
        <x:v>Protecting brother shifts into dark obsession.</x:v>
      </x:c>
      <x:c r="O99" s="12" t="str">
        <x:v>Seed</x:v>
      </x:c>
    </x:row>
    <x:row r="100">
      <x:c r="A100" s="12" t="str">
        <x:v>2020s</x:v>
      </x:c>
      <x:c r="B100" s="12" t="n">
        <x:v>2022</x:v>
      </x:c>
      <x:c r="C100" s="12" t="str">
        <x:v>Stray</x:v>
      </x:c>
      <x:c r="D100" s="12" t="str">
        <x:v>Cat</x:v>
      </x:c>
      <x:c r="E100" s="12" t="str">
        <x:v>Explorer</x:v>
      </x:c>
      <x:c r="F100" s="12" t="str">
        <x:v>Innocent</x:v>
      </x:c>
      <x:c r="G100" s="12" t="str">
        <x:v>Adventure</x:v>
      </x:c>
      <x:c r="H100" s="12" t="str">
        <x:v>France</x:v>
      </x:c>
      <x:c r="I100" s="12" t="str">
        <x:v>Animal avatar</x:v>
      </x:c>
      <x:c r="J100" s="12" t="str">
        <x:v>Other / animal</x:v>
      </x:c>
      <x:c r="K100" s="12" t="n">
        <x:v>0</x:v>
      </x:c>
      <x:c r="L100" s="12" t="n">
        <x:v>2</x:v>
      </x:c>
      <x:c r="M100" s="12" t="n">
        <x:v>1</x:v>
      </x:c>
      <x:c r="N100" s="12" t="str">
        <x:v>Non-human avatar exploring abandoned world.</x:v>
      </x:c>
      <x:c r="O100" s="12" t="str">
        <x:v>Seed</x:v>
      </x:c>
    </x:row>
    <x:row r="101">
      <x:c r="A101" s="12" t="str">
        <x:v>2020s</x:v>
      </x:c>
      <x:c r="B101" s="12" t="n">
        <x:v>2023</x:v>
      </x:c>
      <x:c r="C101" s="12" t="str">
        <x:v>Baldur’s Gate 3</x:v>
      </x:c>
      <x:c r="D101" s="12" t="str">
        <x:v>Custom Tav</x:v>
      </x:c>
      <x:c r="E101" s="12" t="str">
        <x:v>Explorer</x:v>
      </x:c>
      <x:c r="F101" s="12" t="str">
        <x:v>Magician</x:v>
      </x:c>
      <x:c r="G101" s="12" t="str">
        <x:v>RPG</x:v>
      </x:c>
      <x:c r="H101" s="12" t="str">
        <x:v>Belgium</x:v>
      </x:c>
      <x:c r="I101" s="12" t="str">
        <x:v>Customizable avatar</x:v>
      </x:c>
      <x:c r="J101" s="12" t="str">
        <x:v>Player-defined</x:v>
      </x:c>
      <x:c r="K101" s="12" t="n">
        <x:v>2</x:v>
      </x:c>
      <x:c r="L101" s="12" t="n">
        <x:v>3</x:v>
      </x:c>
      <x:c r="M101" s="12" t="n">
        <x:v>3</x:v>
      </x:c>
      <x:c r="N101" s="12" t="str">
        <x:v>Player avatar for choice, power and transformation.</x:v>
      </x:c>
      <x:c r="O101" s="12" t="str">
        <x:v>Seed</x:v>
      </x:c>
    </x:row>
    <x:row r="102">
      <x:c r="A102" s="12" t="str">
        <x:v>2020s</x:v>
      </x:c>
      <x:c r="B102" s="12" t="n">
        <x:v>2023</x:v>
      </x:c>
      <x:c r="C102" s="12" t="str">
        <x:v>Baldur’s Gate 3</x:v>
      </x:c>
      <x:c r="D102" s="12" t="str">
        <x:v>Dark Urge</x:v>
      </x:c>
      <x:c r="E102" s="12" t="str">
        <x:v>Rebel</x:v>
      </x:c>
      <x:c r="F102" s="12" t="str">
        <x:v>Magician</x:v>
      </x:c>
      <x:c r="G102" s="12" t="str">
        <x:v>RPG</x:v>
      </x:c>
      <x:c r="H102" s="12" t="str">
        <x:v>Belgium</x:v>
      </x:c>
      <x:c r="I102" s="12" t="str">
        <x:v>Customizable origin protagonist</x:v>
      </x:c>
      <x:c r="J102" s="12" t="str">
        <x:v>Player-defined</x:v>
      </x:c>
      <x:c r="K102" s="12" t="n">
        <x:v>3</x:v>
      </x:c>
      <x:c r="L102" s="12" t="n">
        <x:v>3</x:v>
      </x:c>
      <x:c r="M102" s="12" t="n">
        <x:v>3</x:v>
      </x:c>
      <x:c r="N102" s="12" t="str">
        <x:v>Player identity with dark inner force.</x:v>
      </x:c>
      <x:c r="O102" s="12" t="str">
        <x:v>Seed</x:v>
      </x:c>
    </x:row>
    <x:row r="103">
      <x:c r="A103" s="12" t="str">
        <x:v>2020s</x:v>
      </x:c>
      <x:c r="B103" s="12" t="n">
        <x:v>2023</x:v>
      </x:c>
      <x:c r="C103" s="12" t="str">
        <x:v>Alan Wake II</x:v>
      </x:c>
      <x:c r="D103" s="12" t="str">
        <x:v>Saga Anderson</x:v>
      </x:c>
      <x:c r="E103" s="12" t="str">
        <x:v>Sage</x:v>
      </x:c>
      <x:c r="F103" s="12" t="str">
        <x:v>Hero</x:v>
      </x:c>
      <x:c r="G103" s="12" t="str">
        <x:v>Survival horror / investigation</x:v>
      </x:c>
      <x:c r="H103" s="12" t="str">
        <x:v>Finland</x:v>
      </x:c>
      <x:c r="I103" s="12" t="str">
        <x:v>Defined protagonist</x:v>
      </x:c>
      <x:c r="J103" s="12" t="str">
        <x:v>Female</x:v>
      </x:c>
      <x:c r="K103" s="12" t="n">
        <x:v>2</x:v>
      </x:c>
      <x:c r="L103" s="12" t="n">
        <x:v>1</x:v>
      </x:c>
      <x:c r="M103" s="12" t="n">
        <x:v>3</x:v>
      </x:c>
      <x:c r="N103" s="12" t="str">
        <x:v>Investigation, interpretation of horror, rationality.</x:v>
      </x:c>
      <x:c r="O103" s="12" t="str">
        <x:v>Seed</x:v>
      </x:c>
    </x:row>
    <x:row r="104">
      <x:c r="A104" s="12" t="str">
        <x:v>2020s</x:v>
      </x:c>
      <x:c r="B104" s="12" t="n">
        <x:v>2023</x:v>
      </x:c>
      <x:c r="C104" s="12" t="str">
        <x:v>Alan Wake II</x:v>
      </x:c>
      <x:c r="D104" s="12" t="str">
        <x:v>Alan Wake</x:v>
      </x:c>
      <x:c r="E104" s="12" t="str">
        <x:v>Creator</x:v>
      </x:c>
      <x:c r="F104" s="12" t="str">
        <x:v>Sage</x:v>
      </x:c>
      <x:c r="G104" s="12" t="str">
        <x:v>Survival horror / narrative</x:v>
      </x:c>
      <x:c r="H104" s="12" t="str">
        <x:v>Finland</x:v>
      </x:c>
      <x:c r="I104" s="12" t="str">
        <x:v>Defined protagonist</x:v>
      </x:c>
      <x:c r="J104" s="12" t="str">
        <x:v>Male</x:v>
      </x:c>
      <x:c r="K104" s="12" t="n">
        <x:v>3</x:v>
      </x:c>
      <x:c r="L104" s="12" t="n">
        <x:v>1</x:v>
      </x:c>
      <x:c r="M104" s="12" t="n">
        <x:v>3</x:v>
      </x:c>
      <x:c r="N104" s="12" t="str">
        <x:v>Author trapped in his own fictional reality.</x:v>
      </x:c>
      <x:c r="O104" s="12" t="str">
        <x:v>Seed</x:v>
      </x:c>
    </x:row>
    <x:row r="105">
      <x:c r="A105" s="12" t="str">
        <x:v>2020s</x:v>
      </x:c>
      <x:c r="B105" s="12" t="n">
        <x:v>2023</x:v>
      </x:c>
      <x:c r="C105" s="12" t="str">
        <x:v>The Legend of Zelda: Tears of the Kingdom</x:v>
      </x:c>
      <x:c r="D105" s="12" t="str">
        <x:v>Link</x:v>
      </x:c>
      <x:c r="E105" s="12" t="str">
        <x:v>Explorer</x:v>
      </x:c>
      <x:c r="F105" s="12" t="str">
        <x:v>Creator</x:v>
      </x:c>
      <x:c r="G105" s="12" t="str">
        <x:v>Open-world action-adventure</x:v>
      </x:c>
      <x:c r="H105" s="12" t="str">
        <x:v>Japan</x:v>
      </x:c>
      <x:c r="I105" s="12" t="str">
        <x:v>Silent defined protagonist</x:v>
      </x:c>
      <x:c r="J105" s="12" t="str">
        <x:v>Male</x:v>
      </x:c>
      <x:c r="K105" s="12" t="n">
        <x:v>1</x:v>
      </x:c>
      <x:c r="L105" s="12" t="n">
        <x:v>3</x:v>
      </x:c>
      <x:c r="M105" s="12" t="n">
        <x:v>2</x:v>
      </x:c>
      <x:c r="N105" s="12" t="str">
        <x:v>Shift from explorer to active builder of world.</x:v>
      </x:c>
      <x:c r="O105" s="12" t="str">
        <x:v>Seed</x:v>
      </x:c>
    </x:row>
    <x:row r="106">
      <x:c r="A106" s="12" t="str">
        <x:v>2020s</x:v>
      </x:c>
      <x:c r="B106" s="12" t="n">
        <x:v>2023</x:v>
      </x:c>
      <x:c r="C106" s="12" t="str">
        <x:v>Starfield</x:v>
      </x:c>
      <x:c r="D106" s="12" t="str">
        <x:v>Player character</x:v>
      </x:c>
      <x:c r="E106" s="12" t="str">
        <x:v>Explorer</x:v>
      </x:c>
      <x:c r="F106" s="12" t="str">
        <x:v>Sage</x:v>
      </x:c>
      <x:c r="G106" s="12" t="str">
        <x:v>RPG</x:v>
      </x:c>
      <x:c r="H106" s="12" t="str">
        <x:v>USA</x:v>
      </x:c>
      <x:c r="I106" s="12" t="str">
        <x:v>Customizable avatar</x:v>
      </x:c>
      <x:c r="J106" s="12" t="str">
        <x:v>Player-defined</x:v>
      </x:c>
      <x:c r="K106" s="12" t="n">
        <x:v>1</x:v>
      </x:c>
      <x:c r="L106" s="12" t="n">
        <x:v>3</x:v>
      </x:c>
      <x:c r="M106" s="12" t="n">
        <x:v>2</x:v>
      </x:c>
      <x:c r="N106" s="12" t="str">
        <x:v>Cosmic travel, artifacts, knowledge.</x:v>
      </x:c>
      <x:c r="O106" s="12" t="str">
        <x:v>Seed</x:v>
      </x:c>
    </x:row>
    <x:row r="107">
      <x:c r="A107" s="12" t="str">
        <x:v>2020s</x:v>
      </x:c>
      <x:c r="B107" s="12" t="n">
        <x:v>2023</x:v>
      </x:c>
      <x:c r="C107" s="12" t="str">
        <x:v>Marvel’s Spider-Man 2</x:v>
      </x:c>
      <x:c r="D107" s="12" t="str">
        <x:v>Peter Parker</x:v>
      </x:c>
      <x:c r="E107" s="12" t="str">
        <x:v>Hero</x:v>
      </x:c>
      <x:c r="F107" s="12" t="str">
        <x:v>Caregiver</x:v>
      </x:c>
      <x:c r="G107" s="12" t="str">
        <x:v>Action-adventure</x:v>
      </x:c>
      <x:c r="H107" s="12" t="str">
        <x:v>USA</x:v>
      </x:c>
      <x:c r="I107" s="12" t="str">
        <x:v>Defined protagonist</x:v>
      </x:c>
      <x:c r="J107" s="12" t="str">
        <x:v>Male</x:v>
      </x:c>
      <x:c r="K107" s="12" t="n">
        <x:v>2</x:v>
      </x:c>
      <x:c r="L107" s="12" t="n">
        <x:v>1</x:v>
      </x:c>
      <x:c r="M107" s="12" t="n">
        <x:v>3</x:v>
      </x:c>
      <x:c r="N107" s="12" t="str">
        <x:v>Responsibility, relationships, protection of city and loved ones.</x:v>
      </x:c>
      <x:c r="O107" s="12" t="str">
        <x:v>Seed</x:v>
      </x:c>
    </x:row>
    <x:row r="108">
      <x:c r="A108" s="12" t="str">
        <x:v>2020s</x:v>
      </x:c>
      <x:c r="B108" s="12" t="n">
        <x:v>2023</x:v>
      </x:c>
      <x:c r="C108" s="12" t="str">
        <x:v>Marvel’s Spider-Man 2</x:v>
      </x:c>
      <x:c r="D108" s="12" t="str">
        <x:v>Miles Morales</x:v>
      </x:c>
      <x:c r="E108" s="12" t="str">
        <x:v>Hero</x:v>
      </x:c>
      <x:c r="F108" s="12" t="str">
        <x:v>Everyman</x:v>
      </x:c>
      <x:c r="G108" s="12" t="str">
        <x:v>Action-adventure</x:v>
      </x:c>
      <x:c r="H108" s="12" t="str">
        <x:v>USA</x:v>
      </x:c>
      <x:c r="I108" s="12" t="str">
        <x:v>Defined protagonist</x:v>
      </x:c>
      <x:c r="J108" s="12" t="str">
        <x:v>Male</x:v>
      </x:c>
      <x:c r="K108" s="12" t="n">
        <x:v>1</x:v>
      </x:c>
      <x:c r="L108" s="12" t="n">
        <x:v>1</x:v>
      </x:c>
      <x:c r="M108" s="12" t="n">
        <x:v>2</x:v>
      </x:c>
      <x:c r="N108" s="12" t="str">
        <x:v>Young hero between community and Spider-Man role.</x:v>
      </x:c>
      <x:c r="O108" s="12" t="str">
        <x:v>Seed</x:v>
      </x:c>
    </x:row>
    <x:row r="109">
      <x:c r="A109" s="12" t="str">
        <x:v>2020s</x:v>
      </x:c>
      <x:c r="B109" s="12" t="n">
        <x:v>2024</x:v>
      </x:c>
      <x:c r="C109" s="12" t="str">
        <x:v>Senua’s Saga: Hellblade II</x:v>
      </x:c>
      <x:c r="D109" s="12" t="str">
        <x:v>Senua</x:v>
      </x:c>
      <x:c r="E109" s="12" t="str">
        <x:v>Sage</x:v>
      </x:c>
      <x:c r="F109" s="12" t="str">
        <x:v>Explorer</x:v>
      </x:c>
      <x:c r="G109" s="12" t="str">
        <x:v>Action-adventure / psychological</x:v>
      </x:c>
      <x:c r="H109" s="12" t="str">
        <x:v>UK</x:v>
      </x:c>
      <x:c r="I109" s="12" t="str">
        <x:v>Defined protagonist</x:v>
      </x:c>
      <x:c r="J109" s="12" t="str">
        <x:v>Female</x:v>
      </x:c>
      <x:c r="K109" s="12" t="n">
        <x:v>3</x:v>
      </x:c>
      <x:c r="L109" s="12" t="n">
        <x:v>1</x:v>
      </x:c>
      <x:c r="M109" s="12" t="n">
        <x:v>3</x:v>
      </x:c>
      <x:c r="N109" s="12" t="str">
        <x:v>Inner experience, interpretation and myth.</x:v>
      </x:c>
      <x:c r="O109" s="12" t="str">
        <x:v>Seed</x:v>
      </x:c>
    </x:row>
    <x:row r="110">
      <x:c r="A110" s="12" t="str">
        <x:v>2020s</x:v>
      </x:c>
      <x:c r="B110" s="12" t="n">
        <x:v>2024</x:v>
      </x:c>
      <x:c r="C110" s="12" t="str">
        <x:v>Prince of Persia: The Lost Crown</x:v>
      </x:c>
      <x:c r="D110" s="12" t="str">
        <x:v>Sargon</x:v>
      </x:c>
      <x:c r="E110" s="12" t="str">
        <x:v>Hero</x:v>
      </x:c>
      <x:c r="F110" s="12" t="str">
        <x:v>Explorer</x:v>
      </x:c>
      <x:c r="G110" s="12" t="str">
        <x:v>Action-adventure / metroidvania</x:v>
      </x:c>
      <x:c r="H110" s="12" t="str">
        <x:v>France</x:v>
      </x:c>
      <x:c r="I110" s="12" t="str">
        <x:v>Defined protagonist</x:v>
      </x:c>
      <x:c r="J110" s="12" t="str">
        <x:v>Male</x:v>
      </x:c>
      <x:c r="K110" s="12" t="n">
        <x:v>1</x:v>
      </x:c>
      <x:c r="L110" s="12" t="n">
        <x:v>1</x:v>
      </x:c>
      <x:c r="M110" s="12" t="n">
        <x:v>2</x:v>
      </x:c>
      <x:c r="N110" s="12" t="str">
        <x:v>New action hero of journey and abilities.</x:v>
      </x:c>
      <x:c r="O110" s="12" t="str">
        <x:v>Seed</x:v>
      </x:c>
    </x:row>
    <x:row r="111">
      <x:c r="A111" s="12" t="str">
        <x:v>2020s</x:v>
      </x:c>
      <x:c r="B111" s="12" t="n">
        <x:v>2024</x:v>
      </x:c>
      <x:c r="C111" s="12" t="str">
        <x:v>Dragon’s Dogma 2</x:v>
      </x:c>
      <x:c r="D111" s="12" t="str">
        <x:v>Arisen</x:v>
      </x:c>
      <x:c r="E111" s="12" t="str">
        <x:v>Hero</x:v>
      </x:c>
      <x:c r="F111" s="12" t="str">
        <x:v>Ruler</x:v>
      </x:c>
      <x:c r="G111" s="12" t="str">
        <x:v>Action RPG</x:v>
      </x:c>
      <x:c r="H111" s="12" t="str">
        <x:v>Japan</x:v>
      </x:c>
      <x:c r="I111" s="12" t="str">
        <x:v>Customizable avatar</x:v>
      </x:c>
      <x:c r="J111" s="12" t="str">
        <x:v>Player-defined</x:v>
      </x:c>
      <x:c r="K111" s="12" t="n">
        <x:v>2</x:v>
      </x:c>
      <x:c r="L111" s="12" t="n">
        <x:v>3</x:v>
      </x:c>
      <x:c r="M111" s="12" t="n">
        <x:v>2</x:v>
      </x:c>
      <x:c r="N111" s="12" t="str">
        <x:v>Player power, fate, rule and following.</x:v>
      </x:c>
      <x:c r="O111" s="12" t="str">
        <x:v>Seed</x:v>
      </x:c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</x:row>
  </x:sheetData>
  <x:conditionalFormatting sqref="K2:K11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L2:L111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M2:M111">
    <x:cfRule type="colorScale" priority="3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7">
    <x:dataValidation type="list" sqref="E2:E310">
      <x:formula1>Lists!$A$2:$A$13</x:formula1>
    </x:dataValidation>
    <x:dataValidation type="list" sqref="F2:F310">
      <x:formula1>Lists!$A$2:$A$13</x:formula1>
    </x:dataValidation>
    <x:dataValidation type="list" sqref="A2:A310">
      <x:formula1>Lists!$B$2:$B$6</x:formula1>
    </x:dataValidation>
    <x:dataValidation type="list" sqref="O2:O310">
      <x:formula1>Lists!$C$2:$C$6</x:formula1>
    </x:dataValidation>
    <x:dataValidation type="list" sqref="K2:K310">
      <x:formula1>"0,1,2,3"</x:formula1>
    </x:dataValidation>
    <x:dataValidation type="list" sqref="L2:L310">
      <x:formula1>"0,1,2,3"</x:formula1>
    </x:dataValidation>
    <x:dataValidation type="list" sqref="M2:M310">
      <x:formula1>"0,1,2,3"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296c735cc34e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7" t="str">
        <x:v>Archetype Corpus Summary</x:v>
      </x:c>
    </x:row>
    <x:row r="3">
      <x:c r="A3" t="str">
        <x:v>Total records</x:v>
      </x:c>
      <x:c r="B3" t="n">
        <x:f>COUNTA(Corpus!C2:C111)</x:f>
        <x:v>110</x:v>
      </x:c>
    </x:row>
    <x:row r="5">
      <x:c r="A5" s="6" t="str">
        <x:v>Decade</x:v>
      </x:c>
      <x:c r="B5" s="6" t="str">
        <x:v>Records</x:v>
      </x:c>
      <x:c r="C5" s="6" t="str">
        <x:v>Hero</x:v>
      </x:c>
      <x:c r="D5" s="6" t="str">
        <x:v>Explorer</x:v>
      </x:c>
      <x:c r="E5" s="6" t="str">
        <x:v>Rebel</x:v>
      </x:c>
      <x:c r="F5" s="6" t="str">
        <x:v>Caregiver</x:v>
      </x:c>
    </x:row>
    <x:row r="6">
      <x:c r="A6" t="str">
        <x:f>"1980s"</x:f>
        <x:v>1980s</x:v>
      </x:c>
      <x:c r="B6" t="n">
        <x:f>COUNTIF(Corpus!A:A,A6)</x:f>
        <x:v>12</x:v>
      </x:c>
      <x:c r="C6" t="n">
        <x:f>COUNTIFS(Corpus!A:A,A6,Corpus!E:E,"Hero")</x:f>
        <x:v>9</x:v>
      </x:c>
      <x:c r="D6" t="n">
        <x:f>COUNTIFS(Corpus!A:A,A6,Corpus!E:E,"Explorer")</x:f>
        <x:v>1</x:v>
      </x:c>
      <x:c r="E6" t="n">
        <x:f>COUNTIFS(Corpus!A:A,A6,Corpus!E:E,"Rebel")</x:f>
        <x:v>0</x:v>
      </x:c>
      <x:c r="F6" t="n">
        <x:f>COUNTIFS(Corpus!A:A,A6,Corpus!E:E,"Caregiver")</x:f>
        <x:v>0</x:v>
      </x:c>
    </x:row>
    <x:row r="7">
      <x:c r="A7" t="str">
        <x:f>"1990s"</x:f>
        <x:v>1990s</x:v>
      </x:c>
      <x:c r="B7" t="n">
        <x:f>COUNTIF(Corpus!A:A,A7)</x:f>
        <x:v>18</x:v>
      </x:c>
      <x:c r="C7" t="n">
        <x:f>COUNTIFS(Corpus!A:A,A7,Corpus!E:E,"Hero")</x:f>
        <x:v>7</x:v>
      </x:c>
      <x:c r="D7" t="n">
        <x:f>COUNTIFS(Corpus!A:A,A7,Corpus!E:E,"Explorer")</x:f>
        <x:v>4</x:v>
      </x:c>
      <x:c r="E7" t="n">
        <x:f>COUNTIFS(Corpus!A:A,A7,Corpus!E:E,"Rebel")</x:f>
        <x:v>2</x:v>
      </x:c>
      <x:c r="F7" t="n">
        <x:f>COUNTIFS(Corpus!A:A,A7,Corpus!E:E,"Caregiver")</x:f>
        <x:v>1</x:v>
      </x:c>
    </x:row>
    <x:row r="8">
      <x:c r="A8" t="str">
        <x:f>"2000s"</x:f>
        <x:v>2000s</x:v>
      </x:c>
      <x:c r="B8" t="n">
        <x:f>COUNTIF(Corpus!A:A,A8)</x:f>
        <x:v>24</x:v>
      </x:c>
      <x:c r="C8" t="n">
        <x:f>COUNTIFS(Corpus!A:A,A8,Corpus!E:E,"Hero")</x:f>
        <x:v>5</x:v>
      </x:c>
      <x:c r="D8" t="n">
        <x:f>COUNTIFS(Corpus!A:A,A8,Corpus!E:E,"Explorer")</x:f>
        <x:v>2</x:v>
      </x:c>
      <x:c r="E8" t="n">
        <x:f>COUNTIFS(Corpus!A:A,A8,Corpus!E:E,"Rebel")</x:f>
        <x:v>6</x:v>
      </x:c>
      <x:c r="F8" t="n">
        <x:f>COUNTIFS(Corpus!A:A,A8,Corpus!E:E,"Caregiver")</x:f>
        <x:v>1</x:v>
      </x:c>
    </x:row>
    <x:row r="9">
      <x:c r="A9" t="str">
        <x:f>"2010s"</x:f>
        <x:v>2010s</x:v>
      </x:c>
      <x:c r="B9" t="n">
        <x:f>COUNTIF(Corpus!A:A,A9)</x:f>
        <x:v>29</x:v>
      </x:c>
      <x:c r="C9" t="n">
        <x:f>COUNTIFS(Corpus!A:A,A9,Corpus!E:E,"Hero")</x:f>
        <x:v>3</x:v>
      </x:c>
      <x:c r="D9" t="n">
        <x:f>COUNTIFS(Corpus!A:A,A9,Corpus!E:E,"Explorer")</x:f>
        <x:v>7</x:v>
      </x:c>
      <x:c r="E9" t="n">
        <x:f>COUNTIFS(Corpus!A:A,A9,Corpus!E:E,"Rebel")</x:f>
        <x:v>4</x:v>
      </x:c>
      <x:c r="F9" t="n">
        <x:f>COUNTIFS(Corpus!A:A,A9,Corpus!E:E,"Caregiver")</x:f>
        <x:v>5</x:v>
      </x:c>
    </x:row>
    <x:row r="10">
      <x:c r="A10" t="str">
        <x:f>"2020s"</x:f>
        <x:v>2020s</x:v>
      </x:c>
      <x:c r="B10" t="n">
        <x:f>COUNTIF(Corpus!A:A,A10)</x:f>
        <x:v>27</x:v>
      </x:c>
      <x:c r="C10" t="n">
        <x:f>COUNTIFS(Corpus!A:A,A10,Corpus!E:E,"Hero")</x:f>
        <x:v>7</x:v>
      </x:c>
      <x:c r="D10" t="n">
        <x:f>COUNTIFS(Corpus!A:A,A10,Corpus!E:E,"Explorer")</x:f>
        <x:v>7</x:v>
      </x:c>
      <x:c r="E10" t="n">
        <x:f>COUNTIFS(Corpus!A:A,A10,Corpus!E:E,"Rebel")</x:f>
        <x:v>5</x:v>
      </x:c>
      <x:c r="F10" t="n">
        <x:f>COUNTIFS(Corpus!A:A,A10,Corpus!E:E,"Caregiver")</x:f>
        <x:v>3</x:v>
      </x:c>
    </x:row>
    <x:row r="13">
      <x:c r="A13" s="6" t="str">
        <x:v>Primary archetype</x:v>
      </x:c>
      <x:c r="B13" s="6" t="str">
        <x:v>Count</x:v>
      </x:c>
      <x:c r="C13" s="6" t="str">
        <x:v>Share</x:v>
      </x:c>
      <x:c r="E13" s="6" t="str">
        <x:v>Decade</x:v>
      </x:c>
      <x:c r="F13" s="6" t="str">
        <x:v>Avg shadow</x:v>
      </x:c>
      <x:c r="G13" s="6" t="str">
        <x:v>Avg narrative</x:v>
      </x:c>
    </x:row>
    <x:row r="14">
      <x:c r="A14" t="str">
        <x:f>"Innocent"</x:f>
        <x:v>Innocent</x:v>
      </x:c>
      <x:c r="B14" t="n">
        <x:f>COUNTIF(Corpus!E:E,A14)</x:f>
        <x:v>3</x:v>
      </x:c>
      <x:c r="C14" s="22" t="n">
        <x:f>B14/$B$3</x:f>
        <x:v>0.02727272727272727</x:v>
      </x:c>
      <x:c r="E14" t="str">
        <x:f>"1980s"</x:f>
        <x:v>1980s</x:v>
      </x:c>
      <x:c r="F14" s="24" t="n">
        <x:f>SUMIF(Corpus!A:A,E14,Corpus!K:K)/COUNTIF(Corpus!A:A,E14)</x:f>
        <x:v>0.4166666666666667</x:v>
      </x:c>
      <x:c r="G14" s="24" t="n">
        <x:f>SUMIF(Corpus!A:A,E14,Corpus!M:M)/COUNTIF(Corpus!A:A,E14)</x:f>
        <x:v>0.5833333333333334</x:v>
      </x:c>
    </x:row>
    <x:row r="15">
      <x:c r="A15" t="str">
        <x:f>"Everyman"</x:f>
        <x:v>Everyman</x:v>
      </x:c>
      <x:c r="B15" t="n">
        <x:f>COUNTIF(Corpus!E:E,A15)</x:f>
        <x:v>7</x:v>
      </x:c>
      <x:c r="C15" s="22" t="n">
        <x:f>B15/$B$3</x:f>
        <x:v>0.06363636363636363</x:v>
      </x:c>
      <x:c r="E15" t="str">
        <x:f>"1990s"</x:f>
        <x:v>1990s</x:v>
      </x:c>
      <x:c r="F15" s="24" t="n">
        <x:f>SUMIF(Corpus!A:A,E15,Corpus!K:K)/COUNTIF(Corpus!A:A,E15)</x:f>
        <x:v>1.3333333333333333</x:v>
      </x:c>
      <x:c r="G15" s="24" t="n">
        <x:f>SUMIF(Corpus!A:A,E15,Corpus!M:M)/COUNTIF(Corpus!A:A,E15)</x:f>
        <x:v>1.5555555555555556</x:v>
      </x:c>
    </x:row>
    <x:row r="16">
      <x:c r="A16" t="str">
        <x:f>"Hero"</x:f>
        <x:v>Hero</x:v>
      </x:c>
      <x:c r="B16" t="n">
        <x:f>COUNTIF(Corpus!E:E,A16)</x:f>
        <x:v>31</x:v>
      </x:c>
      <x:c r="C16" s="22" t="n">
        <x:f>B16/$B$3</x:f>
        <x:v>0.2818181818181818</x:v>
      </x:c>
      <x:c r="E16" t="str">
        <x:f>"2000s"</x:f>
        <x:v>2000s</x:v>
      </x:c>
      <x:c r="F16" s="24" t="n">
        <x:f>SUMIF(Corpus!A:A,E16,Corpus!K:K)/COUNTIF(Corpus!A:A,E16)</x:f>
        <x:v>1.7083333333333333</x:v>
      </x:c>
      <x:c r="G16" s="24" t="n">
        <x:f>SUMIF(Corpus!A:A,E16,Corpus!M:M)/COUNTIF(Corpus!A:A,E16)</x:f>
        <x:v>2.2916666666666665</x:v>
      </x:c>
    </x:row>
    <x:row r="17">
      <x:c r="A17" t="str">
        <x:f>"Caregiver"</x:f>
        <x:v>Caregiver</x:v>
      </x:c>
      <x:c r="B17" t="n">
        <x:f>COUNTIF(Corpus!E:E,A17)</x:f>
        <x:v>10</x:v>
      </x:c>
      <x:c r="C17" s="22" t="n">
        <x:f>B17/$B$3</x:f>
        <x:v>0.09090909090909091</x:v>
      </x:c>
      <x:c r="E17" t="str">
        <x:f>"2010s"</x:f>
        <x:v>2010s</x:v>
      </x:c>
      <x:c r="F17" s="24" t="n">
        <x:f>SUMIF(Corpus!A:A,E17,Corpus!K:K)/COUNTIF(Corpus!A:A,E17)</x:f>
        <x:v>2.0344827586206895</x:v>
      </x:c>
      <x:c r="G17" s="24" t="n">
        <x:f>SUMIF(Corpus!A:A,E17,Corpus!M:M)/COUNTIF(Corpus!A:A,E17)</x:f>
        <x:v>2.6551724137931036</x:v>
      </x:c>
    </x:row>
    <x:row r="18">
      <x:c r="A18" t="str">
        <x:f>"Explorer"</x:f>
        <x:v>Explorer</x:v>
      </x:c>
      <x:c r="B18" t="n">
        <x:f>COUNTIF(Corpus!E:E,A18)</x:f>
        <x:v>21</x:v>
      </x:c>
      <x:c r="C18" s="22" t="n">
        <x:f>B18/$B$3</x:f>
        <x:v>0.19090909090909092</x:v>
      </x:c>
      <x:c r="E18" t="str">
        <x:f>"2020s"</x:f>
        <x:v>2020s</x:v>
      </x:c>
      <x:c r="F18" s="24" t="n">
        <x:f>SUMIF(Corpus!A:A,E18,Corpus!K:K)/COUNTIF(Corpus!A:A,E18)</x:f>
        <x:v>1.8888888888888888</x:v>
      </x:c>
      <x:c r="G18" s="24" t="n">
        <x:f>SUMIF(Corpus!A:A,E18,Corpus!M:M)/COUNTIF(Corpus!A:A,E18)</x:f>
        <x:v>2.5185185185185186</x:v>
      </x:c>
    </x:row>
    <x:row r="19">
      <x:c r="A19" t="str">
        <x:f>"Rebel"</x:f>
        <x:v>Rebel</x:v>
      </x:c>
      <x:c r="B19" t="n">
        <x:f>COUNTIF(Corpus!E:E,A19)</x:f>
        <x:v>17</x:v>
      </x:c>
      <x:c r="C19" s="22" t="n">
        <x:f>B19/$B$3</x:f>
        <x:v>0.15454545454545454</x:v>
      </x:c>
    </x:row>
    <x:row r="20">
      <x:c r="A20" t="str">
        <x:f>"Lover"</x:f>
        <x:v>Lover</x:v>
      </x:c>
      <x:c r="B20" t="n">
        <x:f>COUNTIF(Corpus!E:E,A20)</x:f>
        <x:v>1</x:v>
      </x:c>
      <x:c r="C20" s="22" t="n">
        <x:f>B20/$B$3</x:f>
        <x:v>0.00909090909090909</x:v>
      </x:c>
    </x:row>
    <x:row r="21">
      <x:c r="A21" t="str">
        <x:f>"Creator"</x:f>
        <x:v>Creator</x:v>
      </x:c>
      <x:c r="B21" t="n">
        <x:f>COUNTIF(Corpus!E:E,A21)</x:f>
        <x:v>3</x:v>
      </x:c>
      <x:c r="C21" s="22" t="n">
        <x:f>B21/$B$3</x:f>
        <x:v>0.02727272727272727</x:v>
      </x:c>
    </x:row>
    <x:row r="22">
      <x:c r="A22" t="str">
        <x:f>"Jester"</x:f>
        <x:v>Jester</x:v>
      </x:c>
      <x:c r="B22" t="n">
        <x:f>COUNTIF(Corpus!E:E,A22)</x:f>
        <x:v>2</x:v>
      </x:c>
      <x:c r="C22" s="22" t="n">
        <x:f>B22/$B$3</x:f>
        <x:v>0.01818181818181818</x:v>
      </x:c>
    </x:row>
    <x:row r="23">
      <x:c r="A23" t="str">
        <x:f>"Sage"</x:f>
        <x:v>Sage</x:v>
      </x:c>
      <x:c r="B23" t="n">
        <x:f>COUNTIF(Corpus!E:E,A23)</x:f>
        <x:v>8</x:v>
      </x:c>
      <x:c r="C23" s="22" t="n">
        <x:f>B23/$B$3</x:f>
        <x:v>0.07272727272727272</x:v>
      </x:c>
    </x:row>
    <x:row r="24">
      <x:c r="A24" t="str">
        <x:f>"Magician"</x:f>
        <x:v>Magician</x:v>
      </x:c>
      <x:c r="B24" t="n">
        <x:f>COUNTIF(Corpus!E:E,A24)</x:f>
        <x:v>4</x:v>
      </x:c>
      <x:c r="C24" s="22" t="n">
        <x:f>B24/$B$3</x:f>
        <x:v>0.03636363636363636</x:v>
      </x:c>
    </x:row>
    <x:row r="25">
      <x:c r="A25" t="str">
        <x:f>"Ruler"</x:f>
        <x:v>Ruler</x:v>
      </x:c>
      <x:c r="B25" t="n">
        <x:f>COUNTIF(Corpus!E:E,A25)</x:f>
        <x:v>3</x:v>
      </x:c>
      <x:c r="C25" s="22" t="n">
        <x:f>B25/$B$3</x:f>
        <x:v>0.02727272727272727</x:v>
      </x:c>
    </x:row>
  </x:sheetData>
  <x:mergeCells>
    <x:mergeCell ref="A1:G1"/>
  </x:mergeCells>
  <x:conditionalFormatting sqref="B14:B25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conditionalFormatting sqref="B6:B10">
    <x:cfRule type="dataBar" priority="2">
      <x:dataBar>
        <x:cfvo type="min"/>
        <x:cfvo type="max"/>
        <x:color rgb="93C5FD"/>
      </x:dataBar>
      <x:extLst>
        <x:ext xmlns:x14="http://schemas.microsoft.com/office/spreadsheetml/2009/9/main" uri="{B025F937-C7B1-47D3-B67F-A62EFF666E3E}">
          <x14:id>{74327466-E964-C229-8BA0-2CF9360A3A34}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ca295147316414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60A5FA"/>
            </x14:dataBar>
          </x14:cfRule>
          <xm:sqref>B14:B25</xm:sqref>
        </x14:conditionalFormatting>
        <x14:conditionalFormatting>
          <x14:cfRule type="dataBar" priority="2" id="{74327466-E964-C229-8BA0-2CF9360A3A34}">
            <x14:dataBar gradient="1">
              <x14:cfvo type="min"/>
              <x14:cfvo type="max"/>
              <x14:fillColor rgb="93C5FD"/>
            </x14:dataBar>
          </x14:cfRule>
          <xm:sqref>B6:B10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0" t="str">
        <x:v>Coding guide / methodology notes</x:v>
      </x:c>
      <x:c r="B1" s="12"/>
    </x:row>
    <x:row r="3">
      <x:c r="A3" s="29" t="str">
        <x:v>Goal</x:v>
      </x:c>
      <x:c r="B3" t="str">
        <x:v>Expandable corpus for Jungian-inspired 12-archetype analysis of video game protagonists across decades.</x:v>
      </x:c>
    </x:row>
    <x:row r="4">
      <x:c r="A4" s="29" t="str">
        <x:v>Primary archetype</x:v>
      </x:c>
      <x:c r="B4" t="str">
        <x:v>Dominant motivation/role of the fictional protagonist or, for abstract games, the player role.</x:v>
      </x:c>
    </x:row>
    <x:row r="5">
      <x:c r="A5" s="29" t="str">
        <x:v>Secondary archetype</x:v>
      </x:c>
      <x:c r="B5" t="str">
        <x:v>Important supporting pattern; helps capture hybridisation of modern protagonists.</x:v>
      </x:c>
    </x:row>
    <x:row r="6">
      <x:c r="A6" s="29" t="str">
        <x:v>Shadow load</x:v>
      </x:c>
      <x:c r="B6" t="str">
        <x:v>0 = none/minimal; 1 = slight darker tone; 2 = marked guilt/trauma/violence; 3 = central trauma, guilt, destructive drive or identity crisis.</x:v>
      </x:c>
    </x:row>
    <x:row r="7">
      <x:c r="A7" s="29" t="str">
        <x:v>Player projection</x:v>
      </x:c>
      <x:c r="B7" t="str">
        <x:v>0 = no/low projection, strongly authored; 1 = mostly authored; 2 = partial projection/masked/silent; 3 = high projection/custom/silent/implicit role.</x:v>
      </x:c>
    </x:row>
    <x:row r="8">
      <x:c r="A8" s="29" t="str">
        <x:v>Narrative complexity</x:v>
      </x:c>
      <x:c r="B8" t="str">
        <x:v>0 = no meaningful character arc; 1 = simple premise; 2 = developed character role; 3 = complex arc, moral ambiguity or psychological development.</x:v>
      </x:c>
    </x:row>
    <x:row r="9">
      <x:c r="A9" s="29" t="str">
        <x:v>Candidate status</x:v>
      </x:c>
      <x:c r="B9" t="str">
        <x:v>Seed = initial corpus row; Candidate = proposed addition; Needs review = disagreement likely; Confirmed = reviewed; Discard = excluded.</x:v>
      </x:c>
    </x:row>
    <x:row r="10">
      <x:c r="A10" s="29" t="str">
        <x:v>Important caveat</x:v>
      </x:c>
      <x:c r="B10" t="str">
        <x:v>The 12 archetype model is Jungian-inspired and operational, not a direct claim that Jung used exactly these 12 categories.</x:v>
      </x:c>
    </x:row>
    <x:row r="13">
      <x:c r="A13" s="6" t="str">
        <x:v>Archetype</x:v>
      </x:c>
      <x:c r="B13" s="6" t="str">
        <x:v>Working definition</x:v>
      </x:c>
    </x:row>
    <x:row r="14">
      <x:c r="A14" s="36" t="str">
        <x:v>Innocent</x:v>
      </x:c>
      <x:c r="B14" t="str">
        <x:v>Safety, hope, purity, optimism, uncomplicated goodness.</x:v>
      </x:c>
    </x:row>
    <x:row r="15">
      <x:c r="A15" s="36" t="str">
        <x:v>Everyman</x:v>
      </x:c>
      <x:c r="B15" t="str">
        <x:v>Belonging, ordinariness, survival, being thrown into events.</x:v>
      </x:c>
    </x:row>
    <x:row r="16">
      <x:c r="A16" s="36" t="str">
        <x:v>Hero</x:v>
      </x:c>
      <x:c r="B16" t="str">
        <x:v>Proving worth through trial, saving/restoring order.</x:v>
      </x:c>
    </x:row>
    <x:row r="17">
      <x:c r="A17" s="36" t="str">
        <x:v>Caregiver</x:v>
      </x:c>
      <x:c r="B17" t="str">
        <x:v>Protection, care, sacrifice, responsibility for another.</x:v>
      </x:c>
    </x:row>
    <x:row r="18">
      <x:c r="A18" s="36" t="str">
        <x:v>Explorer</x:v>
      </x:c>
      <x:c r="B18" t="str">
        <x:v>Freedom, journey, discovery, movement into the unknown.</x:v>
      </x:c>
    </x:row>
    <x:row r="19">
      <x:c r="A19" s="36" t="str">
        <x:v>Rebel</x:v>
      </x:c>
      <x:c r="B19" t="str">
        <x:v>Resistance, rule-breaking, anti-systemic action, outlaw identity.</x:v>
      </x:c>
    </x:row>
    <x:row r="20">
      <x:c r="A20" s="36" t="str">
        <x:v>Lover</x:v>
      </x:c>
      <x:c r="B20" t="str">
        <x:v>Intimacy, desire, beauty, attachment, relationship as core drive.</x:v>
      </x:c>
    </x:row>
    <x:row r="21">
      <x:c r="A21" s="36" t="str">
        <x:v>Creator</x:v>
      </x:c>
      <x:c r="B21" t="str">
        <x:v>Making, building, designing, shaping the world.</x:v>
      </x:c>
    </x:row>
    <x:row r="22">
      <x:c r="A22" s="36" t="str">
        <x:v>Jester</x:v>
      </x:c>
      <x:c r="B22" t="str">
        <x:v>Comedy, play, mischief, irreverence, anti-seriousness.</x:v>
      </x:c>
    </x:row>
    <x:row r="23">
      <x:c r="A23" s="36" t="str">
        <x:v>Sage</x:v>
      </x:c>
      <x:c r="B23" t="str">
        <x:v>Knowledge, truth, investigation, interpretation, understanding.</x:v>
      </x:c>
    </x:row>
    <x:row r="24">
      <x:c r="A24" s="36" t="str">
        <x:v>Magician</x:v>
      </x:c>
      <x:c r="B24" t="str">
        <x:v>Transformation, reality-changing power, liminal/occult/systemic change.</x:v>
      </x:c>
    </x:row>
    <x:row r="25">
      <x:c r="A25" s="36" t="str">
        <x:v>Ruler</x:v>
      </x:c>
      <x:c r="B25" t="str">
        <x:v>Control, order, leadership, governance, responsibility over systems.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6" t="str">
        <x:v>Archetypes</x:v>
      </x:c>
      <x:c r="B1" s="6" t="str">
        <x:v>Decades</x:v>
      </x:c>
      <x:c r="C1" s="6" t="str">
        <x:v>Status</x:v>
      </x:c>
    </x:row>
    <x:row r="2">
      <x:c r="A2" t="str">
        <x:v>Innocent</x:v>
      </x:c>
      <x:c r="B2" t="str">
        <x:v>1980s</x:v>
      </x:c>
      <x:c r="C2" t="str">
        <x:v>Seed</x:v>
      </x:c>
    </x:row>
    <x:row r="3">
      <x:c r="A3" t="str">
        <x:v>Everyman</x:v>
      </x:c>
      <x:c r="B3" t="str">
        <x:v>1990s</x:v>
      </x:c>
      <x:c r="C3" t="str">
        <x:v>Candidate</x:v>
      </x:c>
    </x:row>
    <x:row r="4">
      <x:c r="A4" t="str">
        <x:v>Hero</x:v>
      </x:c>
      <x:c r="B4" t="str">
        <x:v>2000s</x:v>
      </x:c>
      <x:c r="C4" t="str">
        <x:v>Needs review</x:v>
      </x:c>
    </x:row>
    <x:row r="5">
      <x:c r="A5" t="str">
        <x:v>Caregiver</x:v>
      </x:c>
      <x:c r="B5" t="str">
        <x:v>2010s</x:v>
      </x:c>
      <x:c r="C5" t="str">
        <x:v>Confirmed</x:v>
      </x:c>
    </x:row>
    <x:row r="6">
      <x:c r="A6" t="str">
        <x:v>Explorer</x:v>
      </x:c>
      <x:c r="B6" t="str">
        <x:v>2020s</x:v>
      </x:c>
      <x:c r="C6" t="str">
        <x:v>Discard</x:v>
      </x:c>
    </x:row>
    <x:row r="7">
      <x:c r="A7" t="str">
        <x:v>Rebel</x:v>
      </x:c>
    </x:row>
    <x:row r="8">
      <x:c r="A8" t="str">
        <x:v>Lover</x:v>
      </x:c>
    </x:row>
    <x:row r="9">
      <x:c r="A9" t="str">
        <x:v>Creator</x:v>
      </x:c>
    </x:row>
    <x:row r="10">
      <x:c r="A10" t="str">
        <x:v>Jester</x:v>
      </x:c>
    </x:row>
    <x:row r="11">
      <x:c r="A11" t="str">
        <x:v>Sage</x:v>
      </x:c>
    </x:row>
    <x:row r="12">
      <x:c r="A12" t="str">
        <x:v>Magician</x:v>
      </x:c>
    </x:row>
    <x:row r="13">
      <x:c r="A13" t="str">
        <x:v>Ruler</x:v>
      </x:c>
    </x:row>
  </x:sheetData>
  <x:pageMargins left="0.7" right="0.7" top="0.75" bottom="0.75" header="0.3" footer="0.3"/>
</x:worksheet>
</file>